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3809FE54-103C-449B-87E5-D49F350B3202}" xr6:coauthVersionLast="47" xr6:coauthVersionMax="47" xr10:uidLastSave="{00000000-0000-0000-0000-000000000000}"/>
  <bookViews>
    <workbookView xWindow="-120" yWindow="-120" windowWidth="29040" windowHeight="15720" tabRatio="776" activeTab="7" xr2:uid="{A21CF5A8-1970-4B84-8123-57BC29D37732}"/>
  </bookViews>
  <sheets>
    <sheet name="使い方" sheetId="113" r:id="rId1"/>
    <sheet name="生徒氏名設定" sheetId="93" r:id="rId2"/>
    <sheet name="評価項目設定" sheetId="92" r:id="rId3"/>
    <sheet name="その他設定" sheetId="1" r:id="rId4"/>
    <sheet name="設定 (2)" sheetId="30" state="hidden" r:id="rId5"/>
    <sheet name="採点基準_単元別" sheetId="138" r:id="rId6"/>
    <sheet name="採点基準_観点別" sheetId="139" r:id="rId7"/>
    <sheet name="国語(sample)" sheetId="140" r:id="rId8"/>
    <sheet name="国語" sheetId="141" r:id="rId9"/>
  </sheets>
  <functionGroups builtInGroupCount="19"/>
  <definedNames>
    <definedName name="_xlnm._FilterDatabase" localSheetId="3" hidden="1">その他設定!$A$2:$B$38</definedName>
    <definedName name="_xlnm._FilterDatabase" localSheetId="5" hidden="1">採点基準_単元別!$B$2:$Q$12</definedName>
    <definedName name="_xlnm._FilterDatabase" localSheetId="1" hidden="1">生徒氏名設定!$A$2:$B$2</definedName>
    <definedName name="_xlnm._FilterDatabase" localSheetId="4" hidden="1">'設定 (2)'!$C$2:$D$45</definedName>
    <definedName name="_xlnm._FilterDatabase" localSheetId="2" hidden="1">評価項目設定!$A$2:$C$2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5" i="141" l="1"/>
  <c r="X25" i="141" s="1"/>
  <c r="Y25" i="141" s="1" a="1"/>
  <c r="Y25" i="141" s="1"/>
  <c r="W24" i="141"/>
  <c r="X24" i="141" s="1"/>
  <c r="Y24" i="141" s="1" a="1"/>
  <c r="Y24" i="141" s="1"/>
  <c r="W23" i="141"/>
  <c r="X23" i="141" s="1"/>
  <c r="Y23" i="141" s="1" a="1"/>
  <c r="Y23" i="141" s="1"/>
  <c r="X22" i="141"/>
  <c r="Y22" i="141" s="1" a="1"/>
  <c r="Y22" i="141" s="1"/>
  <c r="W22" i="141"/>
  <c r="W21" i="141"/>
  <c r="X21" i="141" s="1"/>
  <c r="Y21" i="141" s="1" a="1"/>
  <c r="Y21" i="141" s="1"/>
  <c r="W20" i="141"/>
  <c r="X20" i="141" s="1"/>
  <c r="Y20" i="141" s="1" a="1"/>
  <c r="Y20" i="141" s="1"/>
  <c r="W19" i="141"/>
  <c r="X19" i="141" s="1"/>
  <c r="Y19" i="141" s="1" a="1"/>
  <c r="Y19" i="141" s="1"/>
  <c r="X18" i="141"/>
  <c r="Y18" i="141" s="1" a="1"/>
  <c r="Y18" i="141" s="1"/>
  <c r="W18" i="141"/>
  <c r="W17" i="141"/>
  <c r="X17" i="141" s="1"/>
  <c r="Y17" i="141" s="1" a="1"/>
  <c r="Y17" i="141" s="1"/>
  <c r="W16" i="141"/>
  <c r="X16" i="141" s="1"/>
  <c r="Y16" i="141" s="1" a="1"/>
  <c r="Y16" i="141" s="1"/>
  <c r="W15" i="141"/>
  <c r="X15" i="141" s="1"/>
  <c r="Y15" i="141" s="1" a="1"/>
  <c r="Y15" i="141" s="1"/>
  <c r="X14" i="141"/>
  <c r="Y14" i="141" s="1" a="1"/>
  <c r="Y14" i="141" s="1"/>
  <c r="W14" i="141"/>
  <c r="W13" i="141"/>
  <c r="X13" i="141" s="1"/>
  <c r="Y13" i="141" s="1" a="1"/>
  <c r="Y13" i="141" s="1"/>
  <c r="W12" i="141"/>
  <c r="X12" i="141" s="1"/>
  <c r="Y12" i="141" s="1" a="1"/>
  <c r="Y12" i="141" s="1"/>
  <c r="W11" i="141"/>
  <c r="X11" i="141" s="1"/>
  <c r="Y11" i="141" s="1" a="1"/>
  <c r="Y11" i="141" s="1"/>
  <c r="X10" i="141"/>
  <c r="Y10" i="141" s="1" a="1"/>
  <c r="Y10" i="141" s="1"/>
  <c r="W10" i="141"/>
  <c r="W9" i="141"/>
  <c r="X9" i="141" s="1"/>
  <c r="Y9" i="141" s="1" a="1"/>
  <c r="Y9" i="141" s="1"/>
  <c r="W8" i="141"/>
  <c r="X8" i="141" s="1"/>
  <c r="Y8" i="141" s="1" a="1"/>
  <c r="Y8" i="141" s="1"/>
  <c r="W7" i="141"/>
  <c r="X7" i="141" s="1"/>
  <c r="Y7" i="141" s="1" a="1"/>
  <c r="Y7" i="141" s="1"/>
  <c r="X6" i="141"/>
  <c r="Y6" i="141" s="1" a="1"/>
  <c r="Y6" i="141" s="1"/>
  <c r="W6" i="141"/>
  <c r="X5" i="141"/>
  <c r="Y5" i="141" s="1" a="1"/>
  <c r="Y5" i="141" s="1"/>
  <c r="V3" i="141" a="1"/>
  <c r="V3" i="141" s="1"/>
  <c r="W5" i="141"/>
  <c r="S25" i="141"/>
  <c r="T25" i="141" s="1"/>
  <c r="U25" i="141" s="1" a="1"/>
  <c r="U25" i="141" s="1"/>
  <c r="S24" i="141"/>
  <c r="T24" i="141" s="1"/>
  <c r="U24" i="141" s="1" a="1"/>
  <c r="U24" i="141" s="1"/>
  <c r="S23" i="141"/>
  <c r="T23" i="141" s="1"/>
  <c r="U23" i="141" s="1" a="1"/>
  <c r="U23" i="141" s="1"/>
  <c r="S22" i="141"/>
  <c r="T22" i="141" s="1"/>
  <c r="U22" i="141" s="1" a="1"/>
  <c r="U22" i="141" s="1"/>
  <c r="S21" i="141"/>
  <c r="T21" i="141" s="1"/>
  <c r="U21" i="141" s="1" a="1"/>
  <c r="U21" i="141" s="1"/>
  <c r="S20" i="141"/>
  <c r="T20" i="141" s="1"/>
  <c r="U20" i="141" s="1" a="1"/>
  <c r="U20" i="141" s="1"/>
  <c r="S19" i="141"/>
  <c r="T19" i="141" s="1"/>
  <c r="U19" i="141" s="1" a="1"/>
  <c r="U19" i="141" s="1"/>
  <c r="S18" i="141"/>
  <c r="T18" i="141" s="1"/>
  <c r="U18" i="141" s="1" a="1"/>
  <c r="U18" i="141" s="1"/>
  <c r="S17" i="141"/>
  <c r="T17" i="141" s="1"/>
  <c r="U17" i="141" s="1" a="1"/>
  <c r="U17" i="141" s="1"/>
  <c r="S16" i="141"/>
  <c r="T16" i="141" s="1"/>
  <c r="U16" i="141" s="1" a="1"/>
  <c r="U16" i="141" s="1"/>
  <c r="S15" i="141"/>
  <c r="T15" i="141" s="1"/>
  <c r="U15" i="141" s="1" a="1"/>
  <c r="U15" i="141" s="1"/>
  <c r="S14" i="141"/>
  <c r="T14" i="141" s="1"/>
  <c r="U14" i="141" s="1" a="1"/>
  <c r="U14" i="141" s="1"/>
  <c r="S13" i="141"/>
  <c r="T13" i="141" s="1"/>
  <c r="U13" i="141" s="1" a="1"/>
  <c r="U13" i="141" s="1"/>
  <c r="S12" i="141"/>
  <c r="T12" i="141" s="1"/>
  <c r="U12" i="141" s="1" a="1"/>
  <c r="U12" i="141" s="1"/>
  <c r="S11" i="141"/>
  <c r="T11" i="141" s="1"/>
  <c r="U11" i="141" s="1" a="1"/>
  <c r="U11" i="141" s="1"/>
  <c r="S10" i="141"/>
  <c r="T10" i="141" s="1"/>
  <c r="U10" i="141" s="1" a="1"/>
  <c r="U10" i="141" s="1"/>
  <c r="S9" i="141"/>
  <c r="T9" i="141" s="1"/>
  <c r="U9" i="141" s="1" a="1"/>
  <c r="U9" i="141" s="1"/>
  <c r="S8" i="141"/>
  <c r="T8" i="141" s="1"/>
  <c r="U8" i="141" s="1" a="1"/>
  <c r="U8" i="141" s="1"/>
  <c r="S7" i="141"/>
  <c r="T7" i="141" s="1"/>
  <c r="U7" i="141" s="1" a="1"/>
  <c r="U7" i="141" s="1"/>
  <c r="S6" i="141"/>
  <c r="T6" i="141" s="1"/>
  <c r="U6" i="141" s="1" a="1"/>
  <c r="U6" i="141" s="1"/>
  <c r="T5" i="141"/>
  <c r="U5" i="141" s="1" a="1"/>
  <c r="U5" i="141" s="1"/>
  <c r="R3" i="141" a="1"/>
  <c r="R3" i="141" s="1"/>
  <c r="Q3" i="141" a="1"/>
  <c r="Q3" i="141" s="1"/>
  <c r="P3" i="141" a="1"/>
  <c r="P3" i="141" s="1"/>
  <c r="O3" i="141" a="1"/>
  <c r="O3" i="141" s="1"/>
  <c r="N3" i="141" a="1"/>
  <c r="N3" i="141" s="1"/>
  <c r="S5" i="141"/>
  <c r="K25" i="141"/>
  <c r="L25" i="141" s="1"/>
  <c r="M25" i="141" s="1" a="1"/>
  <c r="M25" i="141" s="1"/>
  <c r="K24" i="141"/>
  <c r="L24" i="141" s="1"/>
  <c r="M24" i="141" s="1" a="1"/>
  <c r="M24" i="141" s="1"/>
  <c r="K23" i="141"/>
  <c r="L23" i="141" s="1"/>
  <c r="M23" i="141" s="1" a="1"/>
  <c r="M23" i="141" s="1"/>
  <c r="K22" i="141"/>
  <c r="L22" i="141" s="1"/>
  <c r="M22" i="141" s="1" a="1"/>
  <c r="M22" i="141" s="1"/>
  <c r="K21" i="141"/>
  <c r="L21" i="141" s="1"/>
  <c r="M21" i="141" s="1" a="1"/>
  <c r="M21" i="141" s="1"/>
  <c r="K20" i="141"/>
  <c r="L20" i="141" s="1"/>
  <c r="M20" i="141" s="1" a="1"/>
  <c r="M20" i="141" s="1"/>
  <c r="K19" i="141"/>
  <c r="L19" i="141" s="1"/>
  <c r="M19" i="141" s="1" a="1"/>
  <c r="M19" i="141" s="1"/>
  <c r="K18" i="141"/>
  <c r="L18" i="141" s="1"/>
  <c r="M18" i="141" s="1" a="1"/>
  <c r="M18" i="141" s="1"/>
  <c r="K17" i="141"/>
  <c r="L17" i="141" s="1"/>
  <c r="M17" i="141" s="1" a="1"/>
  <c r="M17" i="141" s="1"/>
  <c r="K16" i="141"/>
  <c r="L16" i="141" s="1"/>
  <c r="M16" i="141" s="1" a="1"/>
  <c r="M16" i="141" s="1"/>
  <c r="K15" i="141"/>
  <c r="L15" i="141" s="1"/>
  <c r="M15" i="141" s="1" a="1"/>
  <c r="M15" i="141" s="1"/>
  <c r="K14" i="141"/>
  <c r="L14" i="141" s="1"/>
  <c r="M14" i="141" s="1" a="1"/>
  <c r="M14" i="141" s="1"/>
  <c r="K13" i="141"/>
  <c r="L13" i="141" s="1"/>
  <c r="M13" i="141" s="1" a="1"/>
  <c r="M13" i="141" s="1"/>
  <c r="K12" i="141"/>
  <c r="L12" i="141" s="1"/>
  <c r="M12" i="141" s="1" a="1"/>
  <c r="M12" i="141" s="1"/>
  <c r="K11" i="141"/>
  <c r="L11" i="141" s="1"/>
  <c r="M11" i="141" s="1" a="1"/>
  <c r="M11" i="141" s="1"/>
  <c r="K10" i="141"/>
  <c r="L10" i="141" s="1"/>
  <c r="M10" i="141" s="1" a="1"/>
  <c r="M10" i="141" s="1"/>
  <c r="K9" i="141"/>
  <c r="L9" i="141" s="1"/>
  <c r="M9" i="141" s="1" a="1"/>
  <c r="M9" i="141" s="1"/>
  <c r="K8" i="141"/>
  <c r="L8" i="141" s="1"/>
  <c r="M8" i="141" s="1" a="1"/>
  <c r="M8" i="141" s="1"/>
  <c r="K7" i="141"/>
  <c r="L7" i="141" s="1"/>
  <c r="M7" i="141" s="1" a="1"/>
  <c r="M7" i="141" s="1"/>
  <c r="K6" i="141"/>
  <c r="L6" i="141" s="1"/>
  <c r="M6" i="141" s="1" a="1"/>
  <c r="M6" i="141" s="1"/>
  <c r="L5" i="141"/>
  <c r="M5" i="141" s="1" a="1"/>
  <c r="M5" i="141" s="1"/>
  <c r="J3" i="141" a="1"/>
  <c r="J3" i="141" s="1"/>
  <c r="I3" i="141" a="1"/>
  <c r="I3" i="141" s="1"/>
  <c r="H3" i="141" a="1"/>
  <c r="H3" i="141" s="1"/>
  <c r="G3" i="141" a="1"/>
  <c r="G3" i="141" s="1"/>
  <c r="F3" i="141" a="1"/>
  <c r="F3" i="141" s="1"/>
  <c r="K5" i="141"/>
  <c r="W25" i="140"/>
  <c r="X25" i="140" s="1"/>
  <c r="Y25" i="140" s="1" a="1"/>
  <c r="Y25" i="140" s="1"/>
  <c r="W24" i="140"/>
  <c r="X24" i="140" s="1"/>
  <c r="Y24" i="140" s="1" a="1"/>
  <c r="Y24" i="140" s="1"/>
  <c r="W23" i="140"/>
  <c r="X23" i="140" s="1"/>
  <c r="Y23" i="140" s="1" a="1"/>
  <c r="Y23" i="140" s="1"/>
  <c r="X22" i="140"/>
  <c r="Y22" i="140" s="1" a="1"/>
  <c r="Y22" i="140" s="1"/>
  <c r="W22" i="140"/>
  <c r="W21" i="140"/>
  <c r="X21" i="140" s="1"/>
  <c r="Y21" i="140" s="1" a="1"/>
  <c r="Y21" i="140" s="1"/>
  <c r="W20" i="140"/>
  <c r="X20" i="140" s="1"/>
  <c r="Y20" i="140" s="1" a="1"/>
  <c r="Y20" i="140" s="1"/>
  <c r="W19" i="140"/>
  <c r="X19" i="140" s="1"/>
  <c r="Y19" i="140" s="1" a="1"/>
  <c r="Y19" i="140" s="1"/>
  <c r="X18" i="140"/>
  <c r="Y18" i="140" s="1" a="1"/>
  <c r="Y18" i="140" s="1"/>
  <c r="W18" i="140"/>
  <c r="W17" i="140"/>
  <c r="X17" i="140" s="1"/>
  <c r="Y17" i="140" s="1" a="1"/>
  <c r="Y17" i="140" s="1"/>
  <c r="W16" i="140"/>
  <c r="X16" i="140" s="1"/>
  <c r="Y16" i="140" s="1" a="1"/>
  <c r="Y16" i="140" s="1"/>
  <c r="W15" i="140"/>
  <c r="X15" i="140" s="1"/>
  <c r="Y15" i="140" s="1" a="1"/>
  <c r="Y15" i="140" s="1"/>
  <c r="X14" i="140"/>
  <c r="Y14" i="140" s="1" a="1"/>
  <c r="Y14" i="140" s="1"/>
  <c r="W14" i="140"/>
  <c r="W13" i="140"/>
  <c r="X13" i="140" s="1"/>
  <c r="Y13" i="140" s="1" a="1"/>
  <c r="Y13" i="140" s="1"/>
  <c r="W12" i="140"/>
  <c r="X12" i="140" s="1"/>
  <c r="Y12" i="140" s="1" a="1"/>
  <c r="Y12" i="140" s="1"/>
  <c r="W11" i="140"/>
  <c r="X11" i="140" s="1"/>
  <c r="Y11" i="140" s="1" a="1"/>
  <c r="Y11" i="140" s="1"/>
  <c r="X10" i="140"/>
  <c r="Y10" i="140" s="1" a="1"/>
  <c r="Y10" i="140" s="1"/>
  <c r="W10" i="140"/>
  <c r="W9" i="140"/>
  <c r="X9" i="140" s="1"/>
  <c r="Y9" i="140" s="1" a="1"/>
  <c r="Y9" i="140" s="1"/>
  <c r="W8" i="140"/>
  <c r="X8" i="140" s="1"/>
  <c r="Y8" i="140" s="1" a="1"/>
  <c r="Y8" i="140" s="1"/>
  <c r="W7" i="140"/>
  <c r="X7" i="140" s="1"/>
  <c r="Y7" i="140" s="1" a="1"/>
  <c r="Y7" i="140" s="1"/>
  <c r="X6" i="140"/>
  <c r="Y6" i="140" s="1" a="1"/>
  <c r="Y6" i="140" s="1"/>
  <c r="W6" i="140"/>
  <c r="X5" i="140"/>
  <c r="Y5" i="140" s="1" a="1"/>
  <c r="Y5" i="140" s="1"/>
  <c r="V3" i="140" a="1"/>
  <c r="V3" i="140" s="1"/>
  <c r="W5" i="140"/>
  <c r="S25" i="140"/>
  <c r="T25" i="140" s="1"/>
  <c r="U25" i="140" s="1" a="1"/>
  <c r="U25" i="140" s="1"/>
  <c r="T24" i="140"/>
  <c r="U24" i="140" s="1" a="1"/>
  <c r="U24" i="140" s="1"/>
  <c r="S24" i="140"/>
  <c r="T23" i="140"/>
  <c r="U23" i="140" s="1" a="1"/>
  <c r="U23" i="140" s="1"/>
  <c r="S23" i="140"/>
  <c r="S22" i="140"/>
  <c r="T22" i="140" s="1"/>
  <c r="U22" i="140" s="1" a="1"/>
  <c r="U22" i="140" s="1"/>
  <c r="S21" i="140"/>
  <c r="T21" i="140" s="1"/>
  <c r="U21" i="140" s="1" a="1"/>
  <c r="U21" i="140" s="1"/>
  <c r="T20" i="140"/>
  <c r="U20" i="140" s="1" a="1"/>
  <c r="U20" i="140" s="1"/>
  <c r="S20" i="140"/>
  <c r="T19" i="140"/>
  <c r="U19" i="140" s="1" a="1"/>
  <c r="U19" i="140" s="1"/>
  <c r="S19" i="140"/>
  <c r="S18" i="140"/>
  <c r="T18" i="140" s="1"/>
  <c r="U18" i="140" s="1" a="1"/>
  <c r="U18" i="140" s="1"/>
  <c r="S17" i="140"/>
  <c r="T17" i="140" s="1"/>
  <c r="U17" i="140" s="1" a="1"/>
  <c r="U17" i="140" s="1"/>
  <c r="T16" i="140"/>
  <c r="U16" i="140" s="1" a="1"/>
  <c r="U16" i="140" s="1"/>
  <c r="S16" i="140"/>
  <c r="T15" i="140"/>
  <c r="U15" i="140" s="1" a="1"/>
  <c r="U15" i="140" s="1"/>
  <c r="S15" i="140"/>
  <c r="S14" i="140"/>
  <c r="T14" i="140" s="1"/>
  <c r="U14" i="140" s="1" a="1"/>
  <c r="U14" i="140" s="1"/>
  <c r="S13" i="140"/>
  <c r="T13" i="140" s="1"/>
  <c r="U13" i="140" s="1" a="1"/>
  <c r="U13" i="140" s="1"/>
  <c r="T12" i="140"/>
  <c r="U12" i="140" s="1" a="1"/>
  <c r="U12" i="140" s="1"/>
  <c r="S12" i="140"/>
  <c r="T11" i="140"/>
  <c r="U11" i="140" s="1" a="1"/>
  <c r="U11" i="140" s="1"/>
  <c r="S11" i="140"/>
  <c r="S10" i="140"/>
  <c r="T10" i="140" s="1"/>
  <c r="U10" i="140" s="1" a="1"/>
  <c r="U10" i="140" s="1"/>
  <c r="S9" i="140"/>
  <c r="T9" i="140" s="1"/>
  <c r="U9" i="140" s="1" a="1"/>
  <c r="U9" i="140" s="1"/>
  <c r="T8" i="140"/>
  <c r="U8" i="140" s="1" a="1"/>
  <c r="U8" i="140" s="1"/>
  <c r="S8" i="140"/>
  <c r="T7" i="140"/>
  <c r="U7" i="140" s="1" a="1"/>
  <c r="U7" i="140" s="1"/>
  <c r="S7" i="140"/>
  <c r="S6" i="140"/>
  <c r="T6" i="140" s="1"/>
  <c r="U6" i="140" s="1" a="1"/>
  <c r="U6" i="140" s="1"/>
  <c r="T5" i="140"/>
  <c r="U5" i="140" s="1" a="1"/>
  <c r="U5" i="140" s="1"/>
  <c r="R3" i="140" a="1"/>
  <c r="R3" i="140" s="1"/>
  <c r="Q3" i="140" a="1"/>
  <c r="Q3" i="140" s="1"/>
  <c r="P3" i="140" a="1"/>
  <c r="P3" i="140" s="1"/>
  <c r="O3" i="140" a="1"/>
  <c r="O3" i="140" s="1"/>
  <c r="N3" i="140" a="1"/>
  <c r="N3" i="140" s="1"/>
  <c r="S5" i="140"/>
  <c r="K25" i="140"/>
  <c r="L25" i="140" s="1"/>
  <c r="M25" i="140" s="1" a="1"/>
  <c r="M25" i="140" s="1"/>
  <c r="K24" i="140"/>
  <c r="L24" i="140" s="1"/>
  <c r="M24" i="140" s="1" a="1"/>
  <c r="M24" i="140" s="1"/>
  <c r="K23" i="140"/>
  <c r="L23" i="140" s="1"/>
  <c r="M23" i="140" s="1" a="1"/>
  <c r="M23" i="140" s="1"/>
  <c r="K22" i="140"/>
  <c r="L22" i="140" s="1"/>
  <c r="M22" i="140" s="1" a="1"/>
  <c r="M22" i="140" s="1"/>
  <c r="K21" i="140"/>
  <c r="L21" i="140" s="1"/>
  <c r="M21" i="140" s="1" a="1"/>
  <c r="M21" i="140" s="1"/>
  <c r="K20" i="140"/>
  <c r="L20" i="140" s="1"/>
  <c r="M20" i="140" s="1" a="1"/>
  <c r="M20" i="140" s="1"/>
  <c r="K19" i="140"/>
  <c r="L19" i="140" s="1"/>
  <c r="M19" i="140" s="1" a="1"/>
  <c r="M19" i="140" s="1"/>
  <c r="K18" i="140"/>
  <c r="L18" i="140" s="1"/>
  <c r="M18" i="140" s="1" a="1"/>
  <c r="M18" i="140" s="1"/>
  <c r="L17" i="140"/>
  <c r="M17" i="140" s="1" a="1"/>
  <c r="M17" i="140" s="1"/>
  <c r="K17" i="140"/>
  <c r="K16" i="140"/>
  <c r="L16" i="140" s="1"/>
  <c r="M16" i="140" s="1" a="1"/>
  <c r="M16" i="140" s="1"/>
  <c r="K15" i="140"/>
  <c r="L15" i="140" s="1"/>
  <c r="M15" i="140" s="1" a="1"/>
  <c r="M15" i="140" s="1"/>
  <c r="K14" i="140"/>
  <c r="L14" i="140" s="1"/>
  <c r="M14" i="140" s="1" a="1"/>
  <c r="M14" i="140" s="1"/>
  <c r="L13" i="140"/>
  <c r="M13" i="140" s="1" a="1"/>
  <c r="M13" i="140" s="1"/>
  <c r="K13" i="140"/>
  <c r="K12" i="140"/>
  <c r="L12" i="140" s="1"/>
  <c r="M12" i="140" s="1" a="1"/>
  <c r="M12" i="140" s="1"/>
  <c r="K11" i="140"/>
  <c r="L11" i="140" s="1"/>
  <c r="M11" i="140" s="1" a="1"/>
  <c r="M11" i="140" s="1"/>
  <c r="K10" i="140"/>
  <c r="L10" i="140" s="1"/>
  <c r="M10" i="140" s="1" a="1"/>
  <c r="M10" i="140" s="1"/>
  <c r="L9" i="140"/>
  <c r="M9" i="140" s="1" a="1"/>
  <c r="M9" i="140" s="1"/>
  <c r="K9" i="140"/>
  <c r="K8" i="140"/>
  <c r="L8" i="140" s="1"/>
  <c r="M8" i="140" s="1" a="1"/>
  <c r="M8" i="140" s="1"/>
  <c r="K7" i="140"/>
  <c r="L7" i="140" s="1"/>
  <c r="M7" i="140" s="1" a="1"/>
  <c r="M7" i="140" s="1"/>
  <c r="K6" i="140"/>
  <c r="L6" i="140" s="1"/>
  <c r="M6" i="140" s="1" a="1"/>
  <c r="M6" i="140" s="1"/>
  <c r="L5" i="140"/>
  <c r="M5" i="140" s="1" a="1"/>
  <c r="M5" i="140" s="1"/>
  <c r="J3" i="140" a="1"/>
  <c r="J3" i="140" s="1"/>
  <c r="I3" i="140" a="1"/>
  <c r="I3" i="140" s="1"/>
  <c r="H3" i="140" a="1"/>
  <c r="H3" i="140" s="1"/>
  <c r="G3" i="140" a="1"/>
  <c r="G3" i="140" s="1"/>
  <c r="F3" i="140" a="1"/>
  <c r="F3" i="140" s="1"/>
  <c r="K5" i="140"/>
  <c r="F5" i="139"/>
  <c r="F4" i="139"/>
  <c r="F3" i="139"/>
  <c r="T12" i="138"/>
  <c r="S12" i="138"/>
  <c r="R12" i="138"/>
  <c r="T11" i="138"/>
  <c r="S11" i="138"/>
  <c r="R11" i="138"/>
  <c r="T10" i="138"/>
  <c r="S10" i="138"/>
  <c r="R10" i="138"/>
  <c r="T9" i="138"/>
  <c r="S9" i="138"/>
  <c r="R9" i="138"/>
  <c r="T8" i="138"/>
  <c r="S8" i="138"/>
  <c r="R8" i="138"/>
  <c r="T7" i="138"/>
  <c r="S7" i="138"/>
  <c r="R7" i="138"/>
  <c r="T6" i="138"/>
  <c r="S6" i="138"/>
  <c r="R6" i="138"/>
  <c r="T5" i="138"/>
  <c r="S5" i="138"/>
  <c r="R5" i="138"/>
  <c r="T4" i="138"/>
  <c r="S4" i="138"/>
  <c r="R4" i="138"/>
  <c r="T3" i="138"/>
  <c r="S3" i="138"/>
  <c r="R3" i="13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<sst xmlns="http://schemas.openxmlformats.org/spreadsheetml/2006/main" count="494" uniqueCount="180">
  <si>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</si>
  <si>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</si>
  <si>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</si>
  <si>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</si>
  <si>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</si>
  <si>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</si>
  <si>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</si>
  <si>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</si>
  <si>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</si>
  <si>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</si>
  <si>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</si>
  <si>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</si>
  <si>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</si>
  <si>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</si>
  <si>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</si>
  <si>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</si>
  <si>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</si>
  <si>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</si>
  <si>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</si>
  <si>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</si>
  <si>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</si>
  <si>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</si>
  <si>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</si>
  <si>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</si>
  <si>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</si>
  <si>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</si>
  <si>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</si>
  <si>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主体的に学習に取り組む態度</t>
    <phoneticPr fontId="3"/>
  </si>
  <si>
    <t>3学期総合</t>
    <phoneticPr fontId="3"/>
  </si>
  <si>
    <t>採点支援ツール(エクセルマクロ）</t>
    <rPh sb="0" eb="2">
      <t>サイテン</t>
    </rPh>
    <rPh sb="2" eb="4">
      <t>シエン</t>
    </rPh>
    <phoneticPr fontId="3"/>
  </si>
  <si>
    <t>Created by H.M</t>
    <phoneticPr fontId="3"/>
  </si>
  <si>
    <t>はじめに</t>
    <phoneticPr fontId="3"/>
  </si>
  <si>
    <t>値に間違いがないか、確認しつつ使っていただきたいです。</t>
    <rPh sb="0" eb="1">
      <t>アタイ</t>
    </rPh>
    <rPh sb="2" eb="4">
      <t>マチガ</t>
    </rPh>
    <rPh sb="10" eb="12">
      <t>カクニン</t>
    </rPh>
    <rPh sb="15" eb="16">
      <t>ツカ</t>
    </rPh>
    <phoneticPr fontId="3"/>
  </si>
  <si>
    <t>このツールは、有志により作成されたもので、試作段階です。</t>
    <rPh sb="7" eb="9">
      <t>ユウシ</t>
    </rPh>
    <rPh sb="12" eb="14">
      <t>サクセイ</t>
    </rPh>
    <rPh sb="21" eb="25">
      <t>シサクダンカイ</t>
    </rPh>
    <phoneticPr fontId="3"/>
  </si>
  <si>
    <t>点数に関する処理（点数の合計値、配点の取得、ABCの評価など）のテストは一通り行っていますが</t>
    <rPh sb="0" eb="2">
      <t>テンスウ</t>
    </rPh>
    <rPh sb="3" eb="4">
      <t>カン</t>
    </rPh>
    <rPh sb="6" eb="8">
      <t>ショリ</t>
    </rPh>
    <rPh sb="9" eb="11">
      <t>テンスウ</t>
    </rPh>
    <rPh sb="12" eb="14">
      <t>ゴウケイ</t>
    </rPh>
    <rPh sb="14" eb="15">
      <t>アタイ</t>
    </rPh>
    <rPh sb="16" eb="18">
      <t>ハイテン</t>
    </rPh>
    <rPh sb="19" eb="21">
      <t>シュトク</t>
    </rPh>
    <rPh sb="26" eb="28">
      <t>ヒョウカ</t>
    </rPh>
    <rPh sb="36" eb="38">
      <t>ヒトトオ</t>
    </rPh>
    <rPh sb="39" eb="40">
      <t>オコナ</t>
    </rPh>
    <phoneticPr fontId="3"/>
  </si>
  <si>
    <t>使い方</t>
    <rPh sb="0" eb="1">
      <t>ツカ</t>
    </rPh>
    <rPh sb="2" eb="3">
      <t>カタ</t>
    </rPh>
    <phoneticPr fontId="3"/>
  </si>
  <si>
    <t>このツールには下記の機能があります。</t>
    <rPh sb="7" eb="9">
      <t>カキ</t>
    </rPh>
    <rPh sb="10" eb="12">
      <t>キノウ</t>
    </rPh>
    <phoneticPr fontId="3"/>
  </si>
  <si>
    <t>・点数入力シートの作成</t>
    <rPh sb="1" eb="5">
      <t>テンスウニュウリョク</t>
    </rPh>
    <rPh sb="9" eb="11">
      <t>サクセイ</t>
    </rPh>
    <phoneticPr fontId="3"/>
  </si>
  <si>
    <t>科目ごとに、生徒の点数を入力するシートを自動で作成します。</t>
    <rPh sb="0" eb="2">
      <t>カモク</t>
    </rPh>
    <rPh sb="6" eb="8">
      <t>セイト</t>
    </rPh>
    <rPh sb="9" eb="11">
      <t>テンスウ</t>
    </rPh>
    <rPh sb="12" eb="14">
      <t>ニュウリョク</t>
    </rPh>
    <rPh sb="20" eb="22">
      <t>ジドウ</t>
    </rPh>
    <rPh sb="23" eb="25">
      <t>サクセイ</t>
    </rPh>
    <phoneticPr fontId="3"/>
  </si>
  <si>
    <t>・ABC評価の自動計算</t>
    <rPh sb="4" eb="6">
      <t>ヒョウカ</t>
    </rPh>
    <rPh sb="7" eb="9">
      <t>ジドウ</t>
    </rPh>
    <rPh sb="9" eb="11">
      <t>ケイサン</t>
    </rPh>
    <phoneticPr fontId="3"/>
  </si>
  <si>
    <t>点数入力シートに点数を入力すると、ABCの評価を自動算出します。</t>
    <rPh sb="0" eb="4">
      <t>テンスウニュウリョク</t>
    </rPh>
    <rPh sb="8" eb="10">
      <t>テンスウ</t>
    </rPh>
    <rPh sb="11" eb="13">
      <t>ニュウリョク</t>
    </rPh>
    <rPh sb="21" eb="23">
      <t>ヒョウカ</t>
    </rPh>
    <rPh sb="24" eb="28">
      <t>ジドウサンシュツ</t>
    </rPh>
    <phoneticPr fontId="3"/>
  </si>
  <si>
    <t>機能の紹介</t>
    <rPh sb="0" eb="2">
      <t>キノウ</t>
    </rPh>
    <rPh sb="3" eb="5">
      <t>ショウカイ</t>
    </rPh>
    <phoneticPr fontId="3"/>
  </si>
  <si>
    <t>3-1</t>
    <phoneticPr fontId="3"/>
  </si>
  <si>
    <t>各シートの概要</t>
  </si>
  <si>
    <t>・使い方（本シート）</t>
    <rPh sb="1" eb="2">
      <t>ツカ</t>
    </rPh>
    <rPh sb="3" eb="4">
      <t>カタ</t>
    </rPh>
    <rPh sb="5" eb="6">
      <t>ホン</t>
    </rPh>
    <phoneticPr fontId="3"/>
  </si>
  <si>
    <t>このツールには、大きく分けて下記の3種類のシートがあります。</t>
    <rPh sb="8" eb="9">
      <t>オオ</t>
    </rPh>
    <rPh sb="11" eb="12">
      <t>ワ</t>
    </rPh>
    <rPh sb="14" eb="16">
      <t>カキ</t>
    </rPh>
    <rPh sb="18" eb="20">
      <t>シュルイ</t>
    </rPh>
    <phoneticPr fontId="3"/>
  </si>
  <si>
    <t>下記の図を参考にして確認してください。</t>
    <rPh sb="0" eb="2">
      <t>カキ</t>
    </rPh>
    <rPh sb="3" eb="4">
      <t>ズ</t>
    </rPh>
    <rPh sb="5" eb="7">
      <t>サンコウ</t>
    </rPh>
    <rPh sb="10" eb="12">
      <t>カクニン</t>
    </rPh>
    <phoneticPr fontId="3"/>
  </si>
  <si>
    <t>3-2</t>
    <phoneticPr fontId="3"/>
  </si>
  <si>
    <t>設定シートについての説明</t>
    <rPh sb="0" eb="2">
      <t>セッテイ</t>
    </rPh>
    <rPh sb="10" eb="12">
      <t>セツメイ</t>
    </rPh>
    <phoneticPr fontId="3"/>
  </si>
  <si>
    <t>設定シートについて説明します。</t>
    <rPh sb="0" eb="2">
      <t>セッテイ</t>
    </rPh>
    <rPh sb="9" eb="11">
      <t>セツメイ</t>
    </rPh>
    <phoneticPr fontId="3"/>
  </si>
  <si>
    <t>・生徒氏名設定</t>
    <phoneticPr fontId="3"/>
  </si>
  <si>
    <t>山田太郎</t>
    <rPh sb="0" eb="4">
      <t>ヤマダタロウ</t>
    </rPh>
    <phoneticPr fontId="3"/>
  </si>
  <si>
    <t>山田花子</t>
    <rPh sb="0" eb="4">
      <t>ヤマダハナコ</t>
    </rPh>
    <phoneticPr fontId="3"/>
  </si>
  <si>
    <t>(イメージ：例　※赤枠の箇所）</t>
    <rPh sb="6" eb="7">
      <t>レイ</t>
    </rPh>
    <rPh sb="9" eb="11">
      <t>アカワク</t>
    </rPh>
    <rPh sb="12" eb="14">
      <t>カショ</t>
    </rPh>
    <phoneticPr fontId="3"/>
  </si>
  <si>
    <t>・評価項目設定</t>
    <phoneticPr fontId="3"/>
  </si>
  <si>
    <t>科目と、観点（現在は大きく分けて、3つと伺っております）と</t>
    <rPh sb="0" eb="2">
      <t>カモク</t>
    </rPh>
    <rPh sb="4" eb="6">
      <t>カンテン</t>
    </rPh>
    <rPh sb="7" eb="9">
      <t>ゲンザイ</t>
    </rPh>
    <rPh sb="10" eb="11">
      <t>オオ</t>
    </rPh>
    <rPh sb="13" eb="14">
      <t>ワ</t>
    </rPh>
    <rPh sb="20" eb="21">
      <t>ウカガ</t>
    </rPh>
    <phoneticPr fontId="3"/>
  </si>
  <si>
    <t>単元（科目ごとのテスト内容）を入力していただきます。</t>
    <phoneticPr fontId="3"/>
  </si>
  <si>
    <t>ここに入力した内容をもとに、【点数入力シート】を作成します。</t>
    <rPh sb="3" eb="5">
      <t>ニュウリョク</t>
    </rPh>
    <rPh sb="7" eb="9">
      <t>ナイヨウ</t>
    </rPh>
    <rPh sb="15" eb="19">
      <t>テンスウニュウリョク</t>
    </rPh>
    <rPh sb="24" eb="26">
      <t>サクセイ</t>
    </rPh>
    <phoneticPr fontId="3"/>
  </si>
  <si>
    <t>生徒の出席番号と名称を記載します。【点数入力シート】にこの内容がそのまま反映されます。</t>
    <rPh sb="0" eb="2">
      <t>セイト</t>
    </rPh>
    <rPh sb="3" eb="7">
      <t>シュッセキバンゴウ</t>
    </rPh>
    <rPh sb="8" eb="10">
      <t>メイショウ</t>
    </rPh>
    <rPh sb="11" eb="13">
      <t>キサイ</t>
    </rPh>
    <rPh sb="18" eb="20">
      <t>テンスウ</t>
    </rPh>
    <rPh sb="20" eb="22">
      <t>ニュウリョク</t>
    </rPh>
    <rPh sb="29" eb="31">
      <t>ナイヨウ</t>
    </rPh>
    <rPh sb="36" eb="38">
      <t>ハンエイ</t>
    </rPh>
    <phoneticPr fontId="3"/>
  </si>
  <si>
    <t>・設定シート　：　点数入力シートを作成するための情報を設定するシート</t>
    <rPh sb="1" eb="3">
      <t>セッテイ</t>
    </rPh>
    <rPh sb="9" eb="13">
      <t>テンスウニュウリョク</t>
    </rPh>
    <rPh sb="17" eb="19">
      <t>サクセイ</t>
    </rPh>
    <rPh sb="24" eb="26">
      <t>ジョウホウ</t>
    </rPh>
    <rPh sb="27" eb="29">
      <t>セッテイ</t>
    </rPh>
    <phoneticPr fontId="3"/>
  </si>
  <si>
    <t>・点数入力シート　：　設定シートに入力した科目ごとに、生徒の点数を入力するシートを作成します。</t>
    <rPh sb="1" eb="5">
      <t>テンスウニュウリョク</t>
    </rPh>
    <rPh sb="11" eb="13">
      <t>セッテイ</t>
    </rPh>
    <rPh sb="17" eb="19">
      <t>ニュウリョク</t>
    </rPh>
    <rPh sb="21" eb="23">
      <t>カモク</t>
    </rPh>
    <rPh sb="27" eb="29">
      <t>セイト</t>
    </rPh>
    <rPh sb="30" eb="32">
      <t>テンスウ</t>
    </rPh>
    <rPh sb="33" eb="35">
      <t>ニュウリョク</t>
    </rPh>
    <rPh sb="41" eb="43">
      <t>サクセイ</t>
    </rPh>
    <phoneticPr fontId="3"/>
  </si>
  <si>
    <t>※下記の観点順に表が作成されます。↓</t>
    <rPh sb="1" eb="3">
      <t>カキ</t>
    </rPh>
    <rPh sb="4" eb="6">
      <t>カンテン</t>
    </rPh>
    <rPh sb="6" eb="7">
      <t>ジュン</t>
    </rPh>
    <rPh sb="8" eb="9">
      <t>ヒョウ</t>
    </rPh>
    <rPh sb="10" eb="12">
      <t>サクセイ</t>
    </rPh>
    <phoneticPr fontId="3"/>
  </si>
  <si>
    <t>・その他設定</t>
    <phoneticPr fontId="3"/>
  </si>
  <si>
    <t>総合評価を記載する箇所のヘッダに表示する、学期の内容を設定できます。</t>
    <rPh sb="0" eb="4">
      <t>ソウゴウヒョウカ</t>
    </rPh>
    <rPh sb="5" eb="7">
      <t>キサイ</t>
    </rPh>
    <rPh sb="9" eb="11">
      <t>カショ</t>
    </rPh>
    <rPh sb="16" eb="18">
      <t>ヒョウジ</t>
    </rPh>
    <rPh sb="21" eb="23">
      <t>ガッキ</t>
    </rPh>
    <rPh sb="24" eb="26">
      <t>ナイヨウ</t>
    </rPh>
    <rPh sb="27" eb="29">
      <t>セッテイ</t>
    </rPh>
    <phoneticPr fontId="3"/>
  </si>
  <si>
    <t>このシートでは【点数入力シート】に記載する観点の順番と</t>
    <rPh sb="8" eb="12">
      <t>テンスウニュウリョク</t>
    </rPh>
    <rPh sb="17" eb="19">
      <t>キサイ</t>
    </rPh>
    <rPh sb="21" eb="23">
      <t>カンテン</t>
    </rPh>
    <rPh sb="24" eb="26">
      <t>ジュンバン</t>
    </rPh>
    <phoneticPr fontId="3"/>
  </si>
  <si>
    <t>また、生徒氏名・評価項目・その他の3シートで設定した内容をもとに</t>
    <rPh sb="3" eb="7">
      <t>セイトシメイ</t>
    </rPh>
    <rPh sb="8" eb="12">
      <t>ヒョウカコウモク</t>
    </rPh>
    <rPh sb="15" eb="16">
      <t>タ</t>
    </rPh>
    <rPh sb="22" eb="24">
      <t>セッテイ</t>
    </rPh>
    <rPh sb="26" eb="28">
      <t>ナイヨウ</t>
    </rPh>
    <phoneticPr fontId="3"/>
  </si>
  <si>
    <t>「点数入力シート」と、「採点基準設定シート」を作成するボタンがついています。</t>
    <rPh sb="1" eb="5">
      <t>テンスウニュウリョク</t>
    </rPh>
    <rPh sb="12" eb="16">
      <t>サイテンキジュン</t>
    </rPh>
    <rPh sb="16" eb="18">
      <t>セッテイ</t>
    </rPh>
    <rPh sb="23" eb="25">
      <t>サクセイ</t>
    </rPh>
    <phoneticPr fontId="3"/>
  </si>
  <si>
    <t>・点数入力シート作成ボタンについて</t>
    <rPh sb="1" eb="5">
      <t>テンスウニュウリョク</t>
    </rPh>
    <rPh sb="8" eb="10">
      <t>サクセイ</t>
    </rPh>
    <phoneticPr fontId="3"/>
  </si>
  <si>
    <t>クリックすると、生徒氏名・評価項目・その他の3シートの設定内容を確認します。</t>
    <rPh sb="27" eb="29">
      <t>セッテイ</t>
    </rPh>
    <rPh sb="29" eb="31">
      <t>ナイヨウ</t>
    </rPh>
    <rPh sb="32" eb="34">
      <t>カクニン</t>
    </rPh>
    <phoneticPr fontId="3"/>
  </si>
  <si>
    <t>入力内容に未入力箇所があれば、そのセルを黄色にして確認ダイアログを表示します。</t>
    <rPh sb="0" eb="2">
      <t>ニュウリョク</t>
    </rPh>
    <rPh sb="2" eb="4">
      <t>ナイヨウ</t>
    </rPh>
    <rPh sb="5" eb="8">
      <t>ミニュウリョク</t>
    </rPh>
    <rPh sb="8" eb="10">
      <t>カショ</t>
    </rPh>
    <rPh sb="20" eb="22">
      <t>キイロ</t>
    </rPh>
    <rPh sb="25" eb="27">
      <t>カクニン</t>
    </rPh>
    <rPh sb="33" eb="35">
      <t>ヒョウジ</t>
    </rPh>
    <phoneticPr fontId="3"/>
  </si>
  <si>
    <t>・未入力があった場合</t>
    <rPh sb="1" eb="4">
      <t>ミニュウリョク</t>
    </rPh>
    <rPh sb="8" eb="10">
      <t>バアイ</t>
    </rPh>
    <phoneticPr fontId="3"/>
  </si>
  <si>
    <t>・未入力が無い場合</t>
    <rPh sb="1" eb="4">
      <t>ミニュウリョク</t>
    </rPh>
    <rPh sb="5" eb="6">
      <t>ナ</t>
    </rPh>
    <rPh sb="7" eb="9">
      <t>バアイ</t>
    </rPh>
    <phoneticPr fontId="3"/>
  </si>
  <si>
    <t>未入力箇所が黄色に色付けされています。</t>
    <rPh sb="0" eb="3">
      <t>ミニュウリョク</t>
    </rPh>
    <rPh sb="3" eb="5">
      <t>カショ</t>
    </rPh>
    <rPh sb="6" eb="8">
      <t>キイロ</t>
    </rPh>
    <rPh sb="9" eb="11">
      <t>イロヅ</t>
    </rPh>
    <phoneticPr fontId="3"/>
  </si>
  <si>
    <t>シート作成を開始します。というダイアログ表示がされます。「はい」を押すことでシートを作成します。</t>
    <rPh sb="3" eb="5">
      <t>サクセイ</t>
    </rPh>
    <rPh sb="6" eb="8">
      <t>カイシ</t>
    </rPh>
    <rPh sb="20" eb="22">
      <t>ヒョウジ</t>
    </rPh>
    <rPh sb="33" eb="34">
      <t>オ</t>
    </rPh>
    <rPh sb="42" eb="44">
      <t>サクセイ</t>
    </rPh>
    <phoneticPr fontId="3"/>
  </si>
  <si>
    <t>・採点基準設定シート作成ボタンについて</t>
    <rPh sb="1" eb="7">
      <t>サイテンキジュンセッテイ</t>
    </rPh>
    <rPh sb="10" eb="12">
      <t>サクセイ</t>
    </rPh>
    <phoneticPr fontId="3"/>
  </si>
  <si>
    <t>このボタンでは、点数からABC評価を行うのに必要な科目ごとの「点数の基準」を入力する</t>
    <rPh sb="8" eb="10">
      <t>テンスウ</t>
    </rPh>
    <rPh sb="15" eb="17">
      <t>ヒョウカ</t>
    </rPh>
    <rPh sb="18" eb="19">
      <t>オコナ</t>
    </rPh>
    <rPh sb="22" eb="24">
      <t>ヒツヨウ</t>
    </rPh>
    <rPh sb="25" eb="27">
      <t>カモク</t>
    </rPh>
    <rPh sb="31" eb="33">
      <t>テンスウ</t>
    </rPh>
    <rPh sb="34" eb="36">
      <t>キジュン</t>
    </rPh>
    <rPh sb="38" eb="40">
      <t>ニュウリョク</t>
    </rPh>
    <phoneticPr fontId="3"/>
  </si>
  <si>
    <t>シートを作成します。</t>
    <rPh sb="4" eb="6">
      <t>サクセイ</t>
    </rPh>
    <phoneticPr fontId="3"/>
  </si>
  <si>
    <t>・採点基準_観点別シート</t>
    <rPh sb="1" eb="5">
      <t>サイテンキジュン</t>
    </rPh>
    <rPh sb="6" eb="9">
      <t>カンテンベツ</t>
    </rPh>
    <phoneticPr fontId="3"/>
  </si>
  <si>
    <t>このシートは、科目と観点ごとに、ABCの評価をどの点数に基づいて評価するのかを設定できます。</t>
    <rPh sb="7" eb="9">
      <t>カモク</t>
    </rPh>
    <rPh sb="10" eb="12">
      <t>カンテン</t>
    </rPh>
    <rPh sb="20" eb="22">
      <t>ヒョウカ</t>
    </rPh>
    <rPh sb="25" eb="27">
      <t>テンスウ</t>
    </rPh>
    <rPh sb="28" eb="29">
      <t>モト</t>
    </rPh>
    <rPh sb="32" eb="34">
      <t>ヒョウカ</t>
    </rPh>
    <rPh sb="39" eb="41">
      <t>セッテイ</t>
    </rPh>
    <phoneticPr fontId="3"/>
  </si>
  <si>
    <t>点数を記入する欄に点数を入力することで、各科目シートの評価が自動計算されます。</t>
    <rPh sb="0" eb="2">
      <t>テンスウ</t>
    </rPh>
    <rPh sb="3" eb="5">
      <t>キニュウ</t>
    </rPh>
    <rPh sb="7" eb="8">
      <t>ラン</t>
    </rPh>
    <rPh sb="9" eb="11">
      <t>テンスウ</t>
    </rPh>
    <rPh sb="12" eb="14">
      <t>ニュウリョク</t>
    </rPh>
    <rPh sb="20" eb="23">
      <t>カクカモク</t>
    </rPh>
    <rPh sb="27" eb="29">
      <t>ヒョウカ</t>
    </rPh>
    <rPh sb="30" eb="34">
      <t>ジドウケイサン</t>
    </rPh>
    <phoneticPr fontId="3"/>
  </si>
  <si>
    <t>※F列にうっすらと、文字がありますが、この文字を基準にして各シートの評価を</t>
    <rPh sb="2" eb="3">
      <t>レツ</t>
    </rPh>
    <rPh sb="10" eb="12">
      <t>モジ</t>
    </rPh>
    <rPh sb="21" eb="23">
      <t>モジ</t>
    </rPh>
    <rPh sb="24" eb="26">
      <t>キジュン</t>
    </rPh>
    <rPh sb="29" eb="30">
      <t>カク</t>
    </rPh>
    <rPh sb="34" eb="36">
      <t>ヒョウカ</t>
    </rPh>
    <phoneticPr fontId="3"/>
  </si>
  <si>
    <t>計算しています。表示する必要がないので、白くしていますが、絶対に消さないでください！</t>
    <rPh sb="0" eb="2">
      <t>ケイサン</t>
    </rPh>
    <rPh sb="8" eb="10">
      <t>ヒョウジ</t>
    </rPh>
    <rPh sb="12" eb="14">
      <t>ヒツヨウ</t>
    </rPh>
    <rPh sb="20" eb="21">
      <t>シロ</t>
    </rPh>
    <rPh sb="29" eb="31">
      <t>ゼッタイ</t>
    </rPh>
    <rPh sb="32" eb="33">
      <t>ケ</t>
    </rPh>
    <phoneticPr fontId="3"/>
  </si>
  <si>
    <t>数式も、再生成することで、復活しますが、不具合になる可能性があります！</t>
    <rPh sb="0" eb="2">
      <t>スウシキ</t>
    </rPh>
    <rPh sb="4" eb="7">
      <t>サイセイセイ</t>
    </rPh>
    <rPh sb="13" eb="15">
      <t>フッカツ</t>
    </rPh>
    <rPh sb="20" eb="23">
      <t>フグアイ</t>
    </rPh>
    <rPh sb="26" eb="29">
      <t>カノウセイ</t>
    </rPh>
    <phoneticPr fontId="3"/>
  </si>
  <si>
    <t>このシートでは、各科目の単元ごとの、配点や評価を設定できます。</t>
    <rPh sb="8" eb="11">
      <t>カクカモク</t>
    </rPh>
    <rPh sb="12" eb="14">
      <t>タンゲン</t>
    </rPh>
    <rPh sb="18" eb="20">
      <t>ハイテン</t>
    </rPh>
    <rPh sb="21" eb="23">
      <t>ヒョウカ</t>
    </rPh>
    <rPh sb="24" eb="26">
      <t>セッテイ</t>
    </rPh>
    <phoneticPr fontId="3"/>
  </si>
  <si>
    <t>※このシートも、観点別と同様に、※R列にうっすらと、文字がありますが</t>
    <rPh sb="8" eb="11">
      <t>カンテンベツ</t>
    </rPh>
    <rPh sb="12" eb="14">
      <t>ドウヨウ</t>
    </rPh>
    <rPh sb="18" eb="19">
      <t>レツ</t>
    </rPh>
    <rPh sb="26" eb="28">
      <t>モジ</t>
    </rPh>
    <phoneticPr fontId="3"/>
  </si>
  <si>
    <t>この文字を基準にして各シートの評価を計算しています。</t>
    <rPh sb="18" eb="20">
      <t>ケイサン</t>
    </rPh>
    <phoneticPr fontId="3"/>
  </si>
  <si>
    <t>表示する必要がないので、白くしていますが、絶対に消さないでください！</t>
  </si>
  <si>
    <t>観点の到達率を計算する際に、配点の合計値が必要なので、このシートから計算をしています。</t>
    <rPh sb="0" eb="2">
      <t>カンテン</t>
    </rPh>
    <rPh sb="3" eb="6">
      <t>トウタツリツ</t>
    </rPh>
    <rPh sb="7" eb="9">
      <t>ケイサン</t>
    </rPh>
    <rPh sb="11" eb="12">
      <t>サイ</t>
    </rPh>
    <rPh sb="14" eb="16">
      <t>ハイテン</t>
    </rPh>
    <rPh sb="17" eb="20">
      <t>ゴウケイチ</t>
    </rPh>
    <rPh sb="21" eb="23">
      <t>ヒツヨウ</t>
    </rPh>
    <rPh sb="34" eb="36">
      <t>ケイサン</t>
    </rPh>
    <phoneticPr fontId="3"/>
  </si>
  <si>
    <t>・採点基準_単元別について</t>
    <rPh sb="1" eb="5">
      <t>サイテンキジュン</t>
    </rPh>
    <rPh sb="6" eb="8">
      <t>タンゲン</t>
    </rPh>
    <rPh sb="8" eb="9">
      <t>ベツ</t>
    </rPh>
    <phoneticPr fontId="3"/>
  </si>
  <si>
    <t>3-3</t>
    <phoneticPr fontId="3"/>
  </si>
  <si>
    <t>・未入力チェックが反応しない場合。</t>
    <rPh sb="1" eb="4">
      <t>ミニュウリョク</t>
    </rPh>
    <rPh sb="9" eb="11">
      <t>ハンノウ</t>
    </rPh>
    <rPh sb="14" eb="16">
      <t>バアイ</t>
    </rPh>
    <phoneticPr fontId="3"/>
  </si>
  <si>
    <t>このマクロでは、入力された設定値の範囲内に、空白があるとそれを</t>
    <rPh sb="8" eb="10">
      <t>ニュウリョク</t>
    </rPh>
    <rPh sb="13" eb="16">
      <t>セッテイチ</t>
    </rPh>
    <rPh sb="17" eb="20">
      <t>ハンイナイ</t>
    </rPh>
    <rPh sb="22" eb="24">
      <t>クウハク</t>
    </rPh>
    <phoneticPr fontId="3"/>
  </si>
  <si>
    <t>チェックしますが、【出席番号】と【科目】が、末尾まで入力されていないと</t>
    <rPh sb="10" eb="12">
      <t>シュッセキ</t>
    </rPh>
    <rPh sb="12" eb="14">
      <t>バンゴウ</t>
    </rPh>
    <rPh sb="17" eb="19">
      <t>カモク</t>
    </rPh>
    <rPh sb="22" eb="24">
      <t>マツビ</t>
    </rPh>
    <rPh sb="26" eb="28">
      <t>ニュウリョク</t>
    </rPh>
    <phoneticPr fontId="3"/>
  </si>
  <si>
    <t>未入力を検知しない場合があります。</t>
    <rPh sb="0" eb="3">
      <t>ミニュウリョク</t>
    </rPh>
    <rPh sb="4" eb="6">
      <t>ケンチ</t>
    </rPh>
    <rPh sb="9" eb="11">
      <t>バアイ</t>
    </rPh>
    <phoneticPr fontId="3"/>
  </si>
  <si>
    <t>下記がその例です。</t>
    <rPh sb="0" eb="2">
      <t>カキ</t>
    </rPh>
    <rPh sb="5" eb="6">
      <t>レイ</t>
    </rPh>
    <phoneticPr fontId="3"/>
  </si>
  <si>
    <t>記載した、項目には値が正しく入力されているかチェックをしてください。</t>
    <rPh sb="0" eb="2">
      <t>キサイ</t>
    </rPh>
    <rPh sb="5" eb="7">
      <t>コウモク</t>
    </rPh>
    <rPh sb="9" eb="10">
      <t>アタイ</t>
    </rPh>
    <rPh sb="11" eb="12">
      <t>タダ</t>
    </rPh>
    <rPh sb="14" eb="16">
      <t>ニュウリョク</t>
    </rPh>
    <phoneticPr fontId="3"/>
  </si>
  <si>
    <t>・数式が破損する場合</t>
    <rPh sb="1" eb="3">
      <t>スウシキ</t>
    </rPh>
    <rPh sb="4" eb="6">
      <t>ハソン</t>
    </rPh>
    <rPh sb="8" eb="10">
      <t>バアイ</t>
    </rPh>
    <phoneticPr fontId="3"/>
  </si>
  <si>
    <t>単元を追加したり、削除したときに、その単元一つ一つを数式で、判定しているため</t>
    <rPh sb="0" eb="2">
      <t>タンゲン</t>
    </rPh>
    <rPh sb="3" eb="5">
      <t>ツイカ</t>
    </rPh>
    <rPh sb="9" eb="11">
      <t>サクジョ</t>
    </rPh>
    <rPh sb="19" eb="21">
      <t>タンゲン</t>
    </rPh>
    <rPh sb="21" eb="22">
      <t>ヒト</t>
    </rPh>
    <rPh sb="23" eb="24">
      <t>ヒト</t>
    </rPh>
    <rPh sb="26" eb="28">
      <t>スウシキ</t>
    </rPh>
    <rPh sb="30" eb="32">
      <t>ハンテイ</t>
    </rPh>
    <phoneticPr fontId="3"/>
  </si>
  <si>
    <t>場合によっては、列がずれることにより、数式がその値を判別しに行くことができなくなることがあります。</t>
    <rPh sb="0" eb="2">
      <t>バアイ</t>
    </rPh>
    <rPh sb="8" eb="9">
      <t>レツ</t>
    </rPh>
    <rPh sb="19" eb="21">
      <t>スウシキ</t>
    </rPh>
    <rPh sb="24" eb="25">
      <t>アタイ</t>
    </rPh>
    <rPh sb="26" eb="28">
      <t>ハンベツ</t>
    </rPh>
    <rPh sb="30" eb="31">
      <t>イ</t>
    </rPh>
    <phoneticPr fontId="3"/>
  </si>
  <si>
    <t>※Referenceエラーといいます。</t>
    <phoneticPr fontId="3"/>
  </si>
  <si>
    <t>注意事項、エラーが起きたときの対処法について</t>
    <rPh sb="0" eb="4">
      <t>チュウイジコウ</t>
    </rPh>
    <rPh sb="9" eb="10">
      <t>オ</t>
    </rPh>
    <rPh sb="15" eb="18">
      <t>タイショホウ</t>
    </rPh>
    <phoneticPr fontId="3"/>
  </si>
  <si>
    <t>この場合、点数入力シートの左上に</t>
    <rPh sb="2" eb="4">
      <t>バアイ</t>
    </rPh>
    <rPh sb="5" eb="9">
      <t>テンスウニュウリョク</t>
    </rPh>
    <rPh sb="13" eb="15">
      <t>ヒダリウエ</t>
    </rPh>
    <phoneticPr fontId="3"/>
  </si>
  <si>
    <r>
      <t>【数式修正】というボタンがあるので、これを実行していただくと</t>
    </r>
    <r>
      <rPr>
        <b/>
        <sz val="11"/>
        <color theme="1"/>
        <rFont val="BIZ UDゴシック"/>
        <family val="3"/>
        <charset val="128"/>
      </rPr>
      <t>数式の範囲を修正して</t>
    </r>
    <rPh sb="1" eb="5">
      <t>スウシキシュウセイ</t>
    </rPh>
    <rPh sb="21" eb="23">
      <t>ジッコウ</t>
    </rPh>
    <rPh sb="30" eb="32">
      <t>スウシキ</t>
    </rPh>
    <rPh sb="33" eb="35">
      <t>ハンイ</t>
    </rPh>
    <rPh sb="36" eb="38">
      <t>シュウセイ</t>
    </rPh>
    <phoneticPr fontId="3"/>
  </si>
  <si>
    <r>
      <rPr>
        <b/>
        <sz val="11"/>
        <color theme="1"/>
        <rFont val="BIZ UDゴシック"/>
        <family val="3"/>
        <charset val="128"/>
      </rPr>
      <t>再生成</t>
    </r>
    <r>
      <rPr>
        <sz val="11"/>
        <color theme="1"/>
        <rFont val="BIZ UDゴシック"/>
        <family val="3"/>
        <charset val="128"/>
      </rPr>
      <t>するので、このボタンを押すようにしてください。</t>
    </r>
    <rPh sb="0" eb="3">
      <t>サイセイセイ</t>
    </rPh>
    <rPh sb="14" eb="15">
      <t>オ</t>
    </rPh>
    <phoneticPr fontId="3"/>
  </si>
  <si>
    <t>１.単元を追加したいシートをクリックします。</t>
    <rPh sb="2" eb="4">
      <t>タンゲン</t>
    </rPh>
    <rPh sb="5" eb="7">
      <t>ツイカ</t>
    </rPh>
    <phoneticPr fontId="3"/>
  </si>
  <si>
    <t>２.点数入力シートの左上にある、「単元追加」をクリックします。</t>
    <rPh sb="2" eb="6">
      <t>テンスウニュウリョク</t>
    </rPh>
    <rPh sb="10" eb="12">
      <t>ヒダリウエ</t>
    </rPh>
    <rPh sb="17" eb="21">
      <t>タンゲンツイカ</t>
    </rPh>
    <phoneticPr fontId="3"/>
  </si>
  <si>
    <t>3.フォーム画面が表示されます。</t>
    <rPh sb="6" eb="8">
      <t>ガメン</t>
    </rPh>
    <rPh sb="9" eb="11">
      <t>ヒョウジ</t>
    </rPh>
    <phoneticPr fontId="3"/>
  </si>
  <si>
    <t>4.科目（初期値あり）、観点をプルダウンから選択します。</t>
    <rPh sb="2" eb="4">
      <t>カモク</t>
    </rPh>
    <rPh sb="5" eb="8">
      <t>ショキチ</t>
    </rPh>
    <rPh sb="12" eb="14">
      <t>カンテン</t>
    </rPh>
    <rPh sb="22" eb="24">
      <t>センタク</t>
    </rPh>
    <phoneticPr fontId="3"/>
  </si>
  <si>
    <t>5.追加したい単元を入力欄に入力します。</t>
    <rPh sb="2" eb="4">
      <t>ツイカ</t>
    </rPh>
    <rPh sb="7" eb="9">
      <t>タンゲン</t>
    </rPh>
    <rPh sb="10" eb="12">
      <t>ニュウリョク</t>
    </rPh>
    <rPh sb="12" eb="13">
      <t>ラン</t>
    </rPh>
    <rPh sb="14" eb="16">
      <t>ニュウリョク</t>
    </rPh>
    <phoneticPr fontId="3"/>
  </si>
  <si>
    <t>7.単元が、指定した観点のセクションに追加されます。</t>
    <rPh sb="2" eb="4">
      <t>タンゲン</t>
    </rPh>
    <rPh sb="6" eb="8">
      <t>シテイ</t>
    </rPh>
    <rPh sb="10" eb="12">
      <t>カンテン</t>
    </rPh>
    <rPh sb="19" eb="21">
      <t>ツイカ</t>
    </rPh>
    <phoneticPr fontId="3"/>
  </si>
  <si>
    <t>項目を追加する仕様になっているからです。</t>
    <rPh sb="0" eb="2">
      <t>コウモク</t>
    </rPh>
    <rPh sb="3" eb="5">
      <t>ツイカ</t>
    </rPh>
    <rPh sb="7" eb="9">
      <t>シヨウ</t>
    </rPh>
    <phoneticPr fontId="3"/>
  </si>
  <si>
    <t>※観点を指定する必要がある理由は、点数入力シートの【観点ごとの区画】の末尾に</t>
    <rPh sb="1" eb="3">
      <t>カンテン</t>
    </rPh>
    <rPh sb="4" eb="6">
      <t>シテイ</t>
    </rPh>
    <rPh sb="8" eb="10">
      <t>ヒツヨウ</t>
    </rPh>
    <rPh sb="13" eb="15">
      <t>リユウ</t>
    </rPh>
    <rPh sb="17" eb="21">
      <t>テンスウニュウリョク</t>
    </rPh>
    <rPh sb="26" eb="28">
      <t>カンテン</t>
    </rPh>
    <rPh sb="31" eb="33">
      <t>クカク</t>
    </rPh>
    <rPh sb="35" eb="37">
      <t>マツビ</t>
    </rPh>
    <phoneticPr fontId="3"/>
  </si>
  <si>
    <t>点数入力シートの【観点ごとの区画】の末尾に、記入した項目を追加することができます。</t>
    <rPh sb="22" eb="24">
      <t>キニュウ</t>
    </rPh>
    <rPh sb="26" eb="28">
      <t>コウモク</t>
    </rPh>
    <rPh sb="29" eb="31">
      <t>ツイカ</t>
    </rPh>
    <phoneticPr fontId="3"/>
  </si>
  <si>
    <t>6.追加をクリックします。ダイアログが表示されるのでハイをおすと、項目が追加されます。</t>
    <rPh sb="2" eb="4">
      <t>ツイカ</t>
    </rPh>
    <rPh sb="19" eb="21">
      <t>ヒョウジ</t>
    </rPh>
    <rPh sb="33" eb="35">
      <t>コウモク</t>
    </rPh>
    <rPh sb="36" eb="38">
      <t>ツイカ</t>
    </rPh>
    <phoneticPr fontId="3"/>
  </si>
  <si>
    <t>単元を途中で追加したい場合</t>
    <rPh sb="0" eb="2">
      <t>タンゲン</t>
    </rPh>
    <rPh sb="3" eb="5">
      <t>トチュウ</t>
    </rPh>
    <rPh sb="6" eb="8">
      <t>ツイカ</t>
    </rPh>
    <rPh sb="11" eb="13">
      <t>バアイ</t>
    </rPh>
    <phoneticPr fontId="3"/>
  </si>
  <si>
    <t>・</t>
    <phoneticPr fontId="3"/>
  </si>
  <si>
    <t>何度も繰り返し使っている間に、値がおかしくなってしまったら</t>
    <rPh sb="0" eb="2">
      <t>ナンド</t>
    </rPh>
    <rPh sb="3" eb="4">
      <t>ク</t>
    </rPh>
    <rPh sb="5" eb="6">
      <t>カエ</t>
    </rPh>
    <rPh sb="7" eb="8">
      <t>ツカ</t>
    </rPh>
    <rPh sb="12" eb="13">
      <t>アイダ</t>
    </rPh>
    <rPh sb="15" eb="16">
      <t>アタイ</t>
    </rPh>
    <phoneticPr fontId="3"/>
  </si>
  <si>
    <t>下記は一例ですが、出席番号が上に飛び出してしまったり、配点の欄に、観点評価のAが出てしまったり</t>
    <rPh sb="0" eb="2">
      <t>カキ</t>
    </rPh>
    <rPh sb="3" eb="5">
      <t>イチレイ</t>
    </rPh>
    <rPh sb="9" eb="13">
      <t>シュッセキバンゴウ</t>
    </rPh>
    <rPh sb="14" eb="15">
      <t>ウエ</t>
    </rPh>
    <rPh sb="16" eb="17">
      <t>ト</t>
    </rPh>
    <rPh sb="18" eb="19">
      <t>ダ</t>
    </rPh>
    <rPh sb="27" eb="29">
      <t>ハイテン</t>
    </rPh>
    <rPh sb="30" eb="31">
      <t>ラン</t>
    </rPh>
    <rPh sb="33" eb="37">
      <t>カンテンヒョウカ</t>
    </rPh>
    <rPh sb="40" eb="41">
      <t>デ</t>
    </rPh>
    <phoneticPr fontId="3"/>
  </si>
  <si>
    <t>プログラムを何度も実行していると、処理のタイミングによっては、不具合につながることがあります。</t>
    <rPh sb="6" eb="8">
      <t>ナンド</t>
    </rPh>
    <rPh sb="9" eb="11">
      <t>ジッコウ</t>
    </rPh>
    <rPh sb="17" eb="19">
      <t>ショリ</t>
    </rPh>
    <rPh sb="31" eb="34">
      <t>フグアイ</t>
    </rPh>
    <phoneticPr fontId="3"/>
  </si>
  <si>
    <t>（処理が重たくて途中で落ちてしまう→再実行→途中まで作りかけてたところに</t>
    <rPh sb="1" eb="3">
      <t>ショリ</t>
    </rPh>
    <rPh sb="4" eb="5">
      <t>オモ</t>
    </rPh>
    <rPh sb="8" eb="10">
      <t>トチュウ</t>
    </rPh>
    <rPh sb="11" eb="12">
      <t>オ</t>
    </rPh>
    <rPh sb="18" eb="21">
      <t>サイジッコウ</t>
    </rPh>
    <rPh sb="22" eb="24">
      <t>トチュウ</t>
    </rPh>
    <rPh sb="26" eb="27">
      <t>ツク</t>
    </rPh>
    <phoneticPr fontId="3"/>
  </si>
  <si>
    <t>処理が上書きされて、想定されていない動きで壊れる等）</t>
    <rPh sb="24" eb="25">
      <t>ナド</t>
    </rPh>
    <phoneticPr fontId="3"/>
  </si>
  <si>
    <t>不具合の例→</t>
    <rPh sb="0" eb="3">
      <t>フグアイ</t>
    </rPh>
    <rPh sb="4" eb="5">
      <t>レイ</t>
    </rPh>
    <phoneticPr fontId="3"/>
  </si>
  <si>
    <t>もしそういったことがあれば、その状態のエクセルを、別名にして保存して</t>
    <rPh sb="16" eb="18">
      <t>ジョウタイ</t>
    </rPh>
    <rPh sb="25" eb="27">
      <t>ベツメイ</t>
    </rPh>
    <rPh sb="30" eb="32">
      <t>ホゾン</t>
    </rPh>
    <phoneticPr fontId="3"/>
  </si>
  <si>
    <t>どんな状況で、どんな操作をして、どんな入力をして不具合になったか</t>
    <rPh sb="3" eb="5">
      <t>ジョウキョウ</t>
    </rPh>
    <rPh sb="10" eb="12">
      <t>ソウサ</t>
    </rPh>
    <rPh sb="19" eb="21">
      <t>ニュウリョク</t>
    </rPh>
    <rPh sb="24" eb="27">
      <t>フグアイ</t>
    </rPh>
    <phoneticPr fontId="3"/>
  </si>
  <si>
    <t>教えていただきたいです（改善が可能であれば、行っていきたいです。）</t>
    <rPh sb="0" eb="1">
      <t>オシ</t>
    </rPh>
    <rPh sb="12" eb="14">
      <t>カイゼン</t>
    </rPh>
    <rPh sb="15" eb="17">
      <t>カノウ</t>
    </rPh>
    <rPh sb="22" eb="23">
      <t>オコナ</t>
    </rPh>
    <phoneticPr fontId="3"/>
  </si>
  <si>
    <t>そして「点数入力シートをすべて削除」してから、シートを再作成してください。</t>
    <rPh sb="4" eb="8">
      <t>テンスウニュウリョク</t>
    </rPh>
    <rPh sb="15" eb="17">
      <t>サクジョ</t>
    </rPh>
    <rPh sb="27" eb="30">
      <t>サイサクセイ</t>
    </rPh>
    <phoneticPr fontId="3"/>
  </si>
  <si>
    <r>
      <t>・入力中の</t>
    </r>
    <r>
      <rPr>
        <sz val="11"/>
        <color rgb="FFFF0000"/>
        <rFont val="BIZ UDゴシック"/>
        <family val="3"/>
        <charset val="128"/>
      </rPr>
      <t>シートをコピーして保存</t>
    </r>
    <rPh sb="1" eb="4">
      <t>ニュウリョクチュウ</t>
    </rPh>
    <rPh sb="14" eb="16">
      <t>ホゾン</t>
    </rPh>
    <phoneticPr fontId="3"/>
  </si>
  <si>
    <r>
      <t>・エクセルをバックアップ（</t>
    </r>
    <r>
      <rPr>
        <b/>
        <sz val="11"/>
        <color rgb="FFFF0000"/>
        <rFont val="BIZ UDゴシック"/>
        <family val="3"/>
        <charset val="128"/>
      </rPr>
      <t>別のところに一旦エクセルを複製）</t>
    </r>
    <rPh sb="13" eb="14">
      <t>ベツ</t>
    </rPh>
    <rPh sb="19" eb="21">
      <t>イッタン</t>
    </rPh>
    <rPh sb="26" eb="28">
      <t>フクセイ</t>
    </rPh>
    <phoneticPr fontId="3"/>
  </si>
  <si>
    <t>またこういうことになってしまったときは、下記のどちらでもいいので行ってください。</t>
    <rPh sb="20" eb="22">
      <t>カキ</t>
    </rPh>
    <rPh sb="32" eb="33">
      <t>オコナ</t>
    </rPh>
    <phoneticPr fontId="3"/>
  </si>
  <si>
    <t>機能が使えるようになっています。</t>
    <rPh sb="0" eb="2">
      <t>キノウ</t>
    </rPh>
    <rPh sb="3" eb="4">
      <t>ツカ</t>
    </rPh>
    <phoneticPr fontId="3"/>
  </si>
  <si>
    <t>設定シートに記載の内容は決められたセル位置に設定することで</t>
    <rPh sb="0" eb="2">
      <t>セッテイ</t>
    </rPh>
    <rPh sb="6" eb="8">
      <t>キサイ</t>
    </rPh>
    <rPh sb="9" eb="11">
      <t>ナイヨウ</t>
    </rPh>
    <rPh sb="12" eb="13">
      <t>キ</t>
    </rPh>
    <rPh sb="19" eb="21">
      <t>イチ</t>
    </rPh>
    <rPh sb="22" eb="24">
      <t>セッテイ</t>
    </rPh>
    <phoneticPr fontId="3"/>
  </si>
  <si>
    <t>そのため、設定シートのエクセルのシート名や位置を変更すると</t>
    <rPh sb="5" eb="7">
      <t>セッテイ</t>
    </rPh>
    <rPh sb="19" eb="20">
      <t>メイ</t>
    </rPh>
    <rPh sb="21" eb="23">
      <t>イチ</t>
    </rPh>
    <rPh sb="24" eb="26">
      <t>ヘンコウ</t>
    </rPh>
    <phoneticPr fontId="3"/>
  </si>
  <si>
    <t>正しくツールが機能しなくなります。</t>
    <rPh sb="0" eb="1">
      <t>タダ</t>
    </rPh>
    <rPh sb="7" eb="9">
      <t>キノウ</t>
    </rPh>
    <phoneticPr fontId="3"/>
  </si>
  <si>
    <t>設定シートの記載位置やシート名を変更しないでください。</t>
    <rPh sb="0" eb="2">
      <t>セッテイ</t>
    </rPh>
    <rPh sb="6" eb="10">
      <t>キサイイチ</t>
    </rPh>
    <rPh sb="14" eb="15">
      <t>メイ</t>
    </rPh>
    <rPh sb="16" eb="18">
      <t>ヘンコウ</t>
    </rPh>
    <phoneticPr fontId="3"/>
  </si>
  <si>
    <t>テスト</t>
    <phoneticPr fontId="3"/>
  </si>
  <si>
    <t>観点</t>
  </si>
  <si>
    <t>単元名</t>
  </si>
  <si>
    <t>配点</t>
  </si>
  <si>
    <t>3学期総合</t>
  </si>
  <si>
    <t>総計</t>
  </si>
  <si>
    <t>到達率</t>
  </si>
  <si>
    <t>総合評価</t>
  </si>
  <si>
    <t>知識・技能</t>
  </si>
  <si>
    <t>観点合計</t>
  </si>
  <si>
    <t>観点到達率</t>
  </si>
  <si>
    <t>観点評価</t>
  </si>
  <si>
    <t>主体的に学習に取り組む態度</t>
  </si>
  <si>
    <t>テスト</t>
  </si>
  <si>
    <t>観点1</t>
  </si>
  <si>
    <t>A</t>
  </si>
  <si>
    <t>B</t>
  </si>
  <si>
    <t>実施</t>
    <phoneticPr fontId="3"/>
  </si>
  <si>
    <t>観点2</t>
  </si>
  <si>
    <t>重み</t>
  </si>
  <si>
    <t>観点3</t>
    <phoneticPr fontId="3"/>
  </si>
  <si>
    <t>単元1</t>
  </si>
  <si>
    <t>単元1</t>
    <rPh sb="0" eb="2">
      <t>タンゲン</t>
    </rPh>
    <phoneticPr fontId="3"/>
  </si>
  <si>
    <t>単元2</t>
    <rPh sb="0" eb="2">
      <t>タンゲン</t>
    </rPh>
    <phoneticPr fontId="3"/>
  </si>
  <si>
    <t>単元3</t>
    <rPh sb="0" eb="2">
      <t>タンゲン</t>
    </rPh>
    <phoneticPr fontId="3"/>
  </si>
  <si>
    <t>単元4</t>
    <rPh sb="0" eb="2">
      <t>タンゲン</t>
    </rPh>
    <phoneticPr fontId="3"/>
  </si>
  <si>
    <t>単元5</t>
    <rPh sb="0" eb="2">
      <t>タンゲン</t>
    </rPh>
    <phoneticPr fontId="3"/>
  </si>
  <si>
    <t>単元1a</t>
  </si>
  <si>
    <t>単元1a</t>
    <rPh sb="0" eb="2">
      <t>タンゲン</t>
    </rPh>
    <phoneticPr fontId="3"/>
  </si>
  <si>
    <t>単元2a</t>
    <rPh sb="0" eb="2">
      <t>タンゲン</t>
    </rPh>
    <phoneticPr fontId="3"/>
  </si>
  <si>
    <t>単元3a</t>
    <rPh sb="0" eb="2">
      <t>タンゲン</t>
    </rPh>
    <phoneticPr fontId="3"/>
  </si>
  <si>
    <t>単元4a</t>
    <rPh sb="0" eb="2">
      <t>タンゲン</t>
    </rPh>
    <phoneticPr fontId="3"/>
  </si>
  <si>
    <t>単元5a</t>
    <rPh sb="0" eb="2">
      <t>タンゲン</t>
    </rPh>
    <phoneticPr fontId="3"/>
  </si>
  <si>
    <t>国語</t>
  </si>
  <si>
    <t>A_x000D_
(%以上)</t>
  </si>
  <si>
    <t>B_x000D_
(%以上)</t>
  </si>
  <si>
    <t>C_x000D_
(%未満)</t>
  </si>
  <si>
    <t>学級平均</t>
  </si>
  <si>
    <t>単元2</t>
  </si>
  <si>
    <t>単元3</t>
  </si>
  <si>
    <t>単元4</t>
  </si>
  <si>
    <t>単元5</t>
  </si>
  <si>
    <t>単元2a</t>
  </si>
  <si>
    <t>単元3a</t>
  </si>
  <si>
    <t>単元4a</t>
  </si>
  <si>
    <t>単元5a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</si>
</sst>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1"/>
      <color theme="1"/>
      <name val="BIZ UDゴシック"/>
      <family val="3"/>
      <charset val="128"/>
    </font>
    <font>
      <b/>
      <sz val="11"/>
      <color theme="1"/>
      <name val="BIZ UDゴシック"/>
      <family val="3"/>
      <charset val="128"/>
    </font>
    <font>
      <b/>
      <sz val="15"/>
      <color theme="3"/>
      <name val="游ゴシック"/>
      <family val="2"/>
      <charset val="128"/>
      <scheme val="minor"/>
    </font>
    <font>
      <b/>
      <sz val="15"/>
      <color theme="3"/>
      <name val="BIZ UDゴシック"/>
      <family val="3"/>
      <charset val="128"/>
    </font>
    <font>
      <b/>
      <sz val="11"/>
      <color rgb="FFFF0000"/>
      <name val="BIZ UDゴシック"/>
      <family val="3"/>
      <charset val="128"/>
    </font>
    <font>
      <sz val="11"/>
      <color rgb="FFFF0000"/>
      <name val="BIZ UDゴシック"/>
      <family val="3"/>
      <charset val="128"/>
    </font>
    <font>
      <b/>
      <sz val="10"/>
      <color theme="1"/>
      <name val="BIZ UDゴシック"/>
      <family val="3"/>
      <charset val="128"/>
    </font>
    <font>
      <sz val="10"/>
      <color rgb="FF9900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theme="0" tint="-4.9989318521683403E-2"/>
      <name val="BIZ UDゴシック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CC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5CC"/>
        <bgColor indexed="64"/>
      </patternFill>
    </fill>
  </fills>
  <borders count="1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1" fillId="9" borderId="2" applyNumberFormat="0" applyFont="0" applyAlignment="0" applyProtection="0">
      <alignment vertical="center"/>
    </xf>
    <xf numFmtId="0" fontId="14" fillId="0" borderId="4" applyNumberFormat="0" applyFill="0" applyAlignment="0" applyProtection="0">
      <alignment vertical="center"/>
    </xf>
  </cellStyleXfs>
  <cellXfs count="61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7" borderId="1" xfId="3" applyFont="1" applyFill="1" applyAlignment="1">
      <alignment horizontal="left" vertical="top"/>
    </xf>
    <xf numFmtId="0" fontId="8" fillId="7" borderId="1" xfId="3" applyFont="1" applyFill="1" applyAlignment="1">
      <alignment vertical="top"/>
    </xf>
    <xf numFmtId="0" fontId="8" fillId="8" borderId="1" xfId="3" applyFont="1" applyFill="1" applyAlignment="1">
      <alignment vertical="top"/>
    </xf>
    <xf numFmtId="0" fontId="8" fillId="8" borderId="1" xfId="3" applyFont="1" applyFill="1" applyAlignment="1">
      <alignment horizontal="right"/>
    </xf>
    <xf numFmtId="0" fontId="8" fillId="8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2" xfId="2" applyFont="1" applyBorder="1">
      <alignment vertical="center"/>
    </xf>
    <xf numFmtId="0" fontId="10" fillId="0" borderId="0" xfId="0" applyFont="1">
      <alignment vertical="center"/>
    </xf>
    <xf numFmtId="0" fontId="11" fillId="7" borderId="1" xfId="3" applyFont="1" applyFill="1" applyAlignment="1">
      <alignment horizontal="left" vertical="top"/>
    </xf>
    <xf numFmtId="0" fontId="11" fillId="7" borderId="1" xfId="3" applyFont="1" applyFill="1" applyAlignment="1">
      <alignment vertical="top"/>
    </xf>
    <xf numFmtId="0" fontId="11" fillId="8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0" borderId="0" xfId="0" applyFont="1">
      <alignment vertical="center"/>
    </xf>
    <xf numFmtId="0" fontId="13" fillId="9" borderId="2" xfId="4" applyFont="1">
      <alignment vertical="center"/>
    </xf>
    <xf numFmtId="0" fontId="11" fillId="8" borderId="3" xfId="3" applyFont="1" applyFill="1" applyBorder="1" applyAlignment="1">
      <alignment horizontal="right"/>
    </xf>
    <xf numFmtId="0" fontId="11" fillId="8" borderId="0" xfId="3" applyFont="1" applyFill="1" applyBorder="1" applyAlignment="1">
      <alignment vertical="top"/>
    </xf>
    <xf numFmtId="0" fontId="15" fillId="0" borderId="4" xfId="5" applyFont="1">
      <alignment vertical="center"/>
    </xf>
    <xf numFmtId="0" fontId="15" fillId="0" borderId="4" xfId="5" applyFont="1" applyAlignment="1">
      <alignment horizontal="right" vertical="center"/>
    </xf>
    <xf numFmtId="0" fontId="13" fillId="0" borderId="0" xfId="0" applyFont="1">
      <alignment vertical="center"/>
    </xf>
    <xf numFmtId="56" fontId="12" fillId="0" borderId="0" xfId="0" quotePrefix="1" applyNumberFormat="1" applyFont="1">
      <alignment vertical="center"/>
    </xf>
    <xf numFmtId="0" fontId="16" fillId="0" borderId="0" xfId="0" applyFont="1">
      <alignment vertical="center"/>
    </xf>
    <xf numFmtId="0" fontId="12" fillId="0" borderId="0" xfId="0" quotePrefix="1" applyFont="1">
      <alignment vertical="center"/>
    </xf>
    <xf numFmtId="0" fontId="18" fillId="0" borderId="0" xfId="0" applyFont="1" applyAlignment="1">
      <alignment horizontal="left" vertical="top" wrapText="1"/>
    </xf>
    <xf numFmtId="0" fontId="10" fillId="0" borderId="7" xfId="0" applyFont="1" applyBorder="1">
      <alignment vertical="center"/>
    </xf>
    <xf numFmtId="0" fontId="10" fillId="10" borderId="6" xfId="0" applyFont="1" applyFill="1" applyBorder="1">
      <alignment vertical="center"/>
    </xf>
    <xf numFmtId="0" fontId="10" fillId="10" borderId="5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12" xfId="0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0" fillId="11" borderId="13" xfId="0" applyFont="1" applyFill="1" applyBorder="1">
      <alignment vertical="center"/>
    </xf>
    <xf numFmtId="0" fontId="10" fillId="10" borderId="8" xfId="0" applyFont="1" applyFill="1" applyBorder="1" applyAlignment="1">
      <alignment vertical="center" textRotation="255"/>
    </xf>
    <xf numFmtId="0" fontId="10" fillId="12" borderId="7" xfId="0" applyFont="1" applyFill="1" applyBorder="1">
      <alignment vertical="center"/>
    </xf>
    <xf numFmtId="0" fontId="19" fillId="10" borderId="8" xfId="0" applyFont="1" applyFill="1" applyBorder="1" applyAlignment="1">
      <alignment vertical="center" textRotation="255"/>
    </xf>
    <xf numFmtId="0" fontId="10" fillId="13" borderId="7" xfId="0" applyFont="1" applyFill="1" applyBorder="1">
      <alignment vertical="center"/>
    </xf>
    <xf numFmtId="0" fontId="10" fillId="10" borderId="9" xfId="0" applyFont="1" applyFill="1" applyBorder="1">
      <alignment vertical="center"/>
    </xf>
    <xf numFmtId="0" fontId="10" fillId="10" borderId="11" xfId="0" applyFont="1" applyFill="1" applyBorder="1">
      <alignment vertical="center"/>
    </xf>
    <xf numFmtId="0" fontId="10" fillId="13" borderId="6" xfId="0" applyFont="1" applyFill="1" applyBorder="1">
      <alignment vertical="center"/>
    </xf>
    <xf numFmtId="0" fontId="10" fillId="10" borderId="14" xfId="0" applyFont="1" applyFill="1" applyBorder="1">
      <alignment vertical="center"/>
    </xf>
    <xf numFmtId="0" fontId="10" fillId="10" borderId="5" xfId="0" applyFont="1" applyFill="1" applyBorder="1">
      <alignment vertical="center"/>
    </xf>
    <xf numFmtId="0" fontId="10" fillId="10" borderId="10" xfId="0" applyFont="1" applyFill="1" applyBorder="1">
      <alignment vertical="center"/>
    </xf>
    <xf numFmtId="0" fontId="10" fillId="10" borderId="13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20" fillId="0" borderId="0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0" borderId="7" xfId="0" applyFont="1" applyFill="1" applyBorder="1">
      <alignment vertical="center"/>
    </xf>
    <xf numFmtId="0" fontId="10" fillId="14" borderId="0" xfId="0" applyFont="1" applyFill="1" applyBorder="1">
      <alignment vertical="center"/>
    </xf>
    <xf numFmtId="0" fontId="10" fillId="14" borderId="0" xfId="0" applyFont="1" applyFill="1" applyBorder="1" applyAlignment="1">
      <alignment vertical="center" wrapText="1"/>
    </xf>
    <xf numFmtId="0" fontId="10" fillId="14" borderId="0" xfId="0" applyFont="1" applyFill="1" applyBorder="1">
      <alignment vertical="center"/>
    </xf>
    <xf numFmtId="0" fontId="10" fillId="9" borderId="2" xfId="4" applyFont="1">
      <alignment vertical="center"/>
    </xf>
    <xf numFmtId="0" fontId="21" fillId="0" borderId="0" xfId="0" applyFont="1" applyFill="1" applyBorder="1">
      <alignment vertical="center"/>
    </xf>
    <xf numFmtId="0" fontId="10" fillId="0" borderId="0" xfId="0" applyFont="1" applyBorder="1">
      <alignment vertical="center"/>
    </xf>
  </cellXfs>
  <cellStyles count="6">
    <cellStyle name="40% - アクセント 3" xfId="2" builtinId="39"/>
    <cellStyle name="チェック セル" xfId="3" builtinId="23"/>
    <cellStyle name="メモ" xfId="4" builtinId="10"/>
    <cellStyle name="見出し 1" xfId="5" builtinId="16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43661C"/>
      <color rgb="FF008FFA"/>
      <color rgb="FFC37637"/>
      <color rgb="FFE07CCD"/>
      <color rgb="FF674DD3"/>
      <color rgb="FF0075CC"/>
      <color rgb="FFE78575"/>
      <color rgb="FFFACFBC"/>
      <color rgb="FFD7A073"/>
      <color rgb="FFFC73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59</xdr:row>
      <xdr:rowOff>152400</xdr:rowOff>
    </xdr:from>
    <xdr:to>
      <xdr:col>14</xdr:col>
      <xdr:colOff>503737</xdr:colOff>
      <xdr:row>69</xdr:row>
      <xdr:rowOff>104623</xdr:rowOff>
    </xdr:to>
    <xdr:grpSp>
      <xdr:nvGrpSpPr>
        <xdr:cNvPr id="10" name="グループ化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542097" y="10480813"/>
          <a:ext cx="8285662" cy="1691571"/>
          <a:chOff x="419100" y="5876925"/>
          <a:chExt cx="8704762" cy="1666723"/>
        </a:xfrm>
      </xdr:grpSpPr>
      <xdr:grpSp>
        <xdr:nvGrpSpPr>
          <xdr:cNvPr id="4" name="グループ化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419100" y="6267450"/>
            <a:ext cx="8704762" cy="1276198"/>
            <a:chOff x="523875" y="4867275"/>
            <a:chExt cx="8704762" cy="1276198"/>
          </a:xfrm>
        </xdr:grpSpPr>
        <xdr:pic>
          <xdr:nvPicPr>
            <xdr:cNvPr id="2" name="図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523875" y="4924425"/>
              <a:ext cx="8704762" cy="1219048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3" name="左中かっこ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 rot="5400000">
              <a:off x="3616837" y="2459463"/>
              <a:ext cx="566649" cy="5382274"/>
            </a:xfrm>
            <a:prstGeom prst="leftBrace">
              <a:avLst>
                <a:gd name="adj1" fmla="val 45382"/>
                <a:gd name="adj2" fmla="val 51253"/>
              </a:avLst>
            </a:prstGeom>
            <a:ln w="28575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sp macro="" textlink="">
        <xdr:nvSpPr>
          <xdr:cNvPr id="6" name="左中かっこ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7010075" y="5829625"/>
            <a:ext cx="553099" cy="1409700"/>
          </a:xfrm>
          <a:prstGeom prst="leftBrace">
            <a:avLst>
              <a:gd name="adj1" fmla="val 45382"/>
              <a:gd name="adj2" fmla="val 51253"/>
            </a:avLst>
          </a:prstGeom>
          <a:ln w="28575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8" name="テキスト ボックス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3276600" y="5876925"/>
            <a:ext cx="933784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設定シート</a:t>
            </a:r>
          </a:p>
        </xdr:txBody>
      </xdr:sp>
      <xdr:sp macro="" textlink="">
        <xdr:nvSpPr>
          <xdr:cNvPr id="9" name="テキスト ボックス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6607253" y="5895975"/>
            <a:ext cx="1404441" cy="2952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100">
                <a:latin typeface="BIZ UDゴシック" panose="020B0400000000000000" pitchFamily="49" charset="-128"/>
                <a:ea typeface="BIZ UDゴシック" panose="020B0400000000000000" pitchFamily="49" charset="-128"/>
              </a:rPr>
              <a:t>点数入力シート</a:t>
            </a:r>
          </a:p>
        </xdr:txBody>
      </xdr:sp>
    </xdr:grpSp>
    <xdr:clientData/>
  </xdr:twoCellAnchor>
  <xdr:twoCellAnchor>
    <xdr:from>
      <xdr:col>2</xdr:col>
      <xdr:colOff>47625</xdr:colOff>
      <xdr:row>20</xdr:row>
      <xdr:rowOff>57150</xdr:rowOff>
    </xdr:from>
    <xdr:to>
      <xdr:col>9</xdr:col>
      <xdr:colOff>456604</xdr:colOff>
      <xdr:row>43</xdr:row>
      <xdr:rowOff>85725</xdr:rowOff>
    </xdr:to>
    <xdr:grpSp>
      <xdr:nvGrpSpPr>
        <xdr:cNvPr id="14" name="グループ化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61147" y="3602107"/>
          <a:ext cx="4782196" cy="4029075"/>
          <a:chOff x="209550" y="3724275"/>
          <a:chExt cx="4771429" cy="3809524"/>
        </a:xfrm>
      </xdr:grpSpPr>
      <xdr:pic>
        <xdr:nvPicPr>
          <xdr:cNvPr id="12" name="図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09550" y="3724275"/>
            <a:ext cx="4771429" cy="3809524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13" name="正方形/長方形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828925" y="5619750"/>
            <a:ext cx="1924050" cy="1905000"/>
          </a:xfrm>
          <a:prstGeom prst="rect">
            <a:avLst/>
          </a:prstGeom>
          <a:noFill/>
          <a:ln w="28575">
            <a:solidFill>
              <a:srgbClr val="C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 editAs="oneCell">
    <xdr:from>
      <xdr:col>2</xdr:col>
      <xdr:colOff>244848</xdr:colOff>
      <xdr:row>80</xdr:row>
      <xdr:rowOff>44824</xdr:rowOff>
    </xdr:from>
    <xdr:to>
      <xdr:col>9</xdr:col>
      <xdr:colOff>512669</xdr:colOff>
      <xdr:row>105</xdr:row>
      <xdr:rowOff>131994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0319" y="14063383"/>
          <a:ext cx="4615703" cy="462555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11205</xdr:colOff>
      <xdr:row>109</xdr:row>
      <xdr:rowOff>44822</xdr:rowOff>
    </xdr:from>
    <xdr:to>
      <xdr:col>9</xdr:col>
      <xdr:colOff>85910</xdr:colOff>
      <xdr:row>135</xdr:row>
      <xdr:rowOff>156881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73205" y="13391028"/>
          <a:ext cx="4176058" cy="448235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145</xdr:row>
      <xdr:rowOff>113180</xdr:rowOff>
    </xdr:from>
    <xdr:to>
      <xdr:col>15</xdr:col>
      <xdr:colOff>560876</xdr:colOff>
      <xdr:row>163</xdr:row>
      <xdr:rowOff>150888</xdr:rowOff>
    </xdr:to>
    <xdr:pic>
      <xdr:nvPicPr>
        <xdr:cNvPr id="17" name="図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25611605"/>
          <a:ext cx="8790476" cy="312380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56029</xdr:colOff>
      <xdr:row>82</xdr:row>
      <xdr:rowOff>91109</xdr:rowOff>
    </xdr:from>
    <xdr:to>
      <xdr:col>22</xdr:col>
      <xdr:colOff>593911</xdr:colOff>
      <xdr:row>135</xdr:row>
      <xdr:rowOff>78440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18029" y="14420022"/>
          <a:ext cx="13599556" cy="9504048"/>
          <a:chOff x="818029" y="2208682"/>
          <a:chExt cx="13525500" cy="21137060"/>
        </a:xfrm>
      </xdr:grpSpPr>
      <xdr:pic>
        <xdr:nvPicPr>
          <xdr:cNvPr id="18" name="図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641290" y="10830723"/>
            <a:ext cx="6702239" cy="10706873"/>
          </a:xfrm>
          <a:prstGeom prst="rect">
            <a:avLst/>
          </a:prstGeom>
        </xdr:spPr>
      </xdr:pic>
      <xdr:grpSp>
        <xdr:nvGrpSpPr>
          <xdr:cNvPr id="24" name="グループ化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818029" y="13626353"/>
            <a:ext cx="8146677" cy="9719389"/>
            <a:chOff x="818029" y="13626353"/>
            <a:chExt cx="8146677" cy="9719389"/>
          </a:xfrm>
        </xdr:grpSpPr>
        <xdr:grpSp>
          <xdr:nvGrpSpPr>
            <xdr:cNvPr id="22" name="グループ化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GrpSpPr/>
          </xdr:nvGrpSpPr>
          <xdr:grpSpPr>
            <a:xfrm>
              <a:off x="818029" y="13626353"/>
              <a:ext cx="6853519" cy="9719389"/>
              <a:chOff x="818029" y="13626353"/>
              <a:chExt cx="6853519" cy="9719389"/>
            </a:xfrm>
          </xdr:grpSpPr>
          <xdr:sp macro="" textlink="">
            <xdr:nvSpPr>
              <xdr:cNvPr id="19" name="正方形/長方形 18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/>
            </xdr:nvSpPr>
            <xdr:spPr>
              <a:xfrm>
                <a:off x="818029" y="13626353"/>
                <a:ext cx="1501589" cy="9719389"/>
              </a:xfrm>
              <a:prstGeom prst="rect">
                <a:avLst/>
              </a:prstGeom>
              <a:noFill/>
              <a:ln w="28575"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21" name="直線矢印コネクタ 20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CxnSpPr>
                <a:stCxn id="19" idx="3"/>
                <a:endCxn id="23" idx="1"/>
              </xdr:cNvCxnSpPr>
            </xdr:nvCxnSpPr>
            <xdr:spPr>
              <a:xfrm flipV="1">
                <a:off x="2319618" y="18212804"/>
                <a:ext cx="5351930" cy="273245"/>
              </a:xfrm>
              <a:prstGeom prst="straightConnector1">
                <a:avLst/>
              </a:prstGeom>
              <a:ln w="57150">
                <a:solidFill>
                  <a:srgbClr val="FF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23" name="正方形/長方形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7671548" y="14932723"/>
              <a:ext cx="1293158" cy="6560160"/>
            </a:xfrm>
            <a:prstGeom prst="rect">
              <a:avLst/>
            </a:prstGeom>
            <a:noFill/>
            <a:ln w="38100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  <xdr:grpSp>
        <xdr:nvGrpSpPr>
          <xdr:cNvPr id="28" name="グループ化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GrpSpPr/>
        </xdr:nvGrpSpPr>
        <xdr:grpSpPr>
          <a:xfrm>
            <a:off x="997323" y="2208682"/>
            <a:ext cx="13335001" cy="12201495"/>
            <a:chOff x="-5098677" y="-3730436"/>
            <a:chExt cx="13335001" cy="12201495"/>
          </a:xfrm>
        </xdr:grpSpPr>
        <xdr:grpSp>
          <xdr:nvGrpSpPr>
            <xdr:cNvPr id="29" name="グループ化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pSpPr/>
          </xdr:nvGrpSpPr>
          <xdr:grpSpPr>
            <a:xfrm>
              <a:off x="-5098677" y="-3730436"/>
              <a:ext cx="7341949" cy="10646429"/>
              <a:chOff x="-5098677" y="-3730436"/>
              <a:chExt cx="7341949" cy="10646429"/>
            </a:xfrm>
          </xdr:grpSpPr>
          <xdr:sp macro="" textlink="">
            <xdr:nvSpPr>
              <xdr:cNvPr id="31" name="正方形/長方形 30">
                <a:extLst>
                  <a:ext uri="{FF2B5EF4-FFF2-40B4-BE49-F238E27FC236}">
                    <a16:creationId xmlns:a16="http://schemas.microsoft.com/office/drawing/2014/main" id="{00000000-0008-0000-0000-00001F000000}"/>
                  </a:ext>
                </a:extLst>
              </xdr:cNvPr>
              <xdr:cNvSpPr/>
            </xdr:nvSpPr>
            <xdr:spPr>
              <a:xfrm>
                <a:off x="-5098677" y="-3730436"/>
                <a:ext cx="4280648" cy="9549037"/>
              </a:xfrm>
              <a:prstGeom prst="rect">
                <a:avLst/>
              </a:prstGeom>
              <a:noFill/>
              <a:ln w="28575">
                <a:solidFill>
                  <a:schemeClr val="accent2">
                    <a:lumMod val="7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32" name="直線矢印コネクタ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CxnSpPr>
                <a:stCxn id="31" idx="3"/>
                <a:endCxn id="30" idx="1"/>
              </xdr:cNvCxnSpPr>
            </xdr:nvCxnSpPr>
            <xdr:spPr>
              <a:xfrm>
                <a:off x="-818029" y="1044084"/>
                <a:ext cx="3061301" cy="5871909"/>
              </a:xfrm>
              <a:prstGeom prst="straightConnector1">
                <a:avLst/>
              </a:prstGeom>
              <a:ln w="57150">
                <a:solidFill>
                  <a:schemeClr val="accent2">
                    <a:lumMod val="75000"/>
                  </a:schemeClr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0" name="正方形/長方形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2243272" y="5360925"/>
              <a:ext cx="5993052" cy="3110134"/>
            </a:xfrm>
            <a:prstGeom prst="rect">
              <a:avLst/>
            </a:prstGeom>
            <a:noFill/>
            <a:ln w="38100">
              <a:solidFill>
                <a:srgbClr val="C37637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>
    <xdr:from>
      <xdr:col>2</xdr:col>
      <xdr:colOff>228601</xdr:colOff>
      <xdr:row>138</xdr:row>
      <xdr:rowOff>129550</xdr:rowOff>
    </xdr:from>
    <xdr:to>
      <xdr:col>26</xdr:col>
      <xdr:colOff>22410</xdr:colOff>
      <xdr:row>164</xdr:row>
      <xdr:rowOff>9526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742123" y="24546680"/>
          <a:ext cx="15853787" cy="4402281"/>
          <a:chOff x="-1981909" y="10896520"/>
          <a:chExt cx="15765226" cy="9987707"/>
        </a:xfrm>
      </xdr:grpSpPr>
      <xdr:pic>
        <xdr:nvPicPr>
          <xdr:cNvPr id="20" name="図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81078" y="10896520"/>
            <a:ext cx="6702239" cy="9987707"/>
          </a:xfrm>
          <a:prstGeom prst="rect">
            <a:avLst/>
          </a:prstGeom>
        </xdr:spPr>
      </xdr:pic>
      <xdr:grpSp>
        <xdr:nvGrpSpPr>
          <xdr:cNvPr id="25" name="グループ化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-1981909" y="10941139"/>
            <a:ext cx="15733392" cy="6148889"/>
            <a:chOff x="-1981909" y="10941139"/>
            <a:chExt cx="15733392" cy="6148889"/>
          </a:xfrm>
        </xdr:grpSpPr>
        <xdr:grpSp>
          <xdr:nvGrpSpPr>
            <xdr:cNvPr id="37" name="グループ化 36">
              <a:extLst>
                <a:ext uri="{FF2B5EF4-FFF2-40B4-BE49-F238E27FC236}">
                  <a16:creationId xmlns:a16="http://schemas.microsoft.com/office/drawing/2014/main" id="{00000000-0008-0000-0000-000025000000}"/>
                </a:ext>
              </a:extLst>
            </xdr:cNvPr>
            <xdr:cNvGrpSpPr/>
          </xdr:nvGrpSpPr>
          <xdr:grpSpPr>
            <a:xfrm>
              <a:off x="-1981909" y="11142523"/>
              <a:ext cx="10340170" cy="5947505"/>
              <a:chOff x="-1981909" y="11142523"/>
              <a:chExt cx="10340170" cy="5947505"/>
            </a:xfrm>
          </xdr:grpSpPr>
          <xdr:sp macro="" textlink="">
            <xdr:nvSpPr>
              <xdr:cNvPr id="39" name="正方形/長方形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-1981909" y="15247761"/>
                <a:ext cx="4301528" cy="1842267"/>
              </a:xfrm>
              <a:prstGeom prst="rect">
                <a:avLst/>
              </a:prstGeom>
              <a:noFill/>
              <a:ln w="28575">
                <a:solidFill>
                  <a:srgbClr val="00B05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cxnSp macro="">
            <xdr:nvCxnSpPr>
              <xdr:cNvPr id="40" name="直線矢印コネクタ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CxnSpPr>
                <a:stCxn id="39" idx="3"/>
                <a:endCxn id="38" idx="1"/>
              </xdr:cNvCxnSpPr>
            </xdr:nvCxnSpPr>
            <xdr:spPr>
              <a:xfrm flipV="1">
                <a:off x="2319619" y="11142523"/>
                <a:ext cx="6038642" cy="5026373"/>
              </a:xfrm>
              <a:prstGeom prst="straightConnector1">
                <a:avLst/>
              </a:prstGeom>
              <a:ln w="57150">
                <a:solidFill>
                  <a:srgbClr val="00B05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sp macro="" textlink="">
          <xdr:nvSpPr>
            <xdr:cNvPr id="38" name="正方形/長方形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8358262" y="10941139"/>
              <a:ext cx="5393221" cy="402764"/>
            </a:xfrm>
            <a:prstGeom prst="rect">
              <a:avLst/>
            </a:prstGeom>
            <a:noFill/>
            <a:ln w="38100">
              <a:solidFill>
                <a:srgbClr val="43661C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kumimoji="1" lang="ja-JP" altLang="en-US" sz="1100"/>
            </a:p>
          </xdr:txBody>
        </xdr:sp>
      </xdr:grpSp>
    </xdr:grpSp>
    <xdr:clientData/>
  </xdr:twoCellAnchor>
  <xdr:twoCellAnchor editAs="oneCell">
    <xdr:from>
      <xdr:col>3</xdr:col>
      <xdr:colOff>1</xdr:colOff>
      <xdr:row>173</xdr:row>
      <xdr:rowOff>37805</xdr:rowOff>
    </xdr:from>
    <xdr:to>
      <xdr:col>16</xdr:col>
      <xdr:colOff>104775</xdr:colOff>
      <xdr:row>196</xdr:row>
      <xdr:rowOff>7432</xdr:rowOff>
    </xdr:to>
    <xdr:pic>
      <xdr:nvPicPr>
        <xdr:cNvPr id="51" name="図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1" y="30508280"/>
          <a:ext cx="9020174" cy="391297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0</xdr:colOff>
      <xdr:row>201</xdr:row>
      <xdr:rowOff>57150</xdr:rowOff>
    </xdr:from>
    <xdr:to>
      <xdr:col>15</xdr:col>
      <xdr:colOff>189448</xdr:colOff>
      <xdr:row>223</xdr:row>
      <xdr:rowOff>151917</xdr:rowOff>
    </xdr:to>
    <xdr:pic>
      <xdr:nvPicPr>
        <xdr:cNvPr id="52" name="図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2000" y="35328225"/>
          <a:ext cx="8419048" cy="38666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38100</xdr:colOff>
      <xdr:row>238</xdr:row>
      <xdr:rowOff>47625</xdr:rowOff>
    </xdr:from>
    <xdr:to>
      <xdr:col>12</xdr:col>
      <xdr:colOff>113519</xdr:colOff>
      <xdr:row>253</xdr:row>
      <xdr:rowOff>28257</xdr:rowOff>
    </xdr:to>
    <xdr:pic>
      <xdr:nvPicPr>
        <xdr:cNvPr id="53" name="図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0100" y="41490900"/>
          <a:ext cx="6247619" cy="2552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12</xdr:col>
      <xdr:colOff>552450</xdr:colOff>
      <xdr:row>233</xdr:row>
      <xdr:rowOff>85725</xdr:rowOff>
    </xdr:from>
    <xdr:to>
      <xdr:col>18</xdr:col>
      <xdr:colOff>685269</xdr:colOff>
      <xdr:row>252</xdr:row>
      <xdr:rowOff>123412</xdr:rowOff>
    </xdr:to>
    <xdr:pic>
      <xdr:nvPicPr>
        <xdr:cNvPr id="54" name="図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486650" y="40671750"/>
          <a:ext cx="4247619" cy="3295238"/>
        </a:xfrm>
        <a:prstGeom prst="rect">
          <a:avLst/>
        </a:prstGeom>
      </xdr:spPr>
    </xdr:pic>
    <xdr:clientData/>
  </xdr:twoCellAnchor>
  <xdr:twoCellAnchor>
    <xdr:from>
      <xdr:col>18</xdr:col>
      <xdr:colOff>209550</xdr:colOff>
      <xdr:row>246</xdr:row>
      <xdr:rowOff>0</xdr:rowOff>
    </xdr:from>
    <xdr:to>
      <xdr:col>21</xdr:col>
      <xdr:colOff>38100</xdr:colOff>
      <xdr:row>250</xdr:row>
      <xdr:rowOff>114300</xdr:rowOff>
    </xdr:to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 txBox="1"/>
      </xdr:nvSpPr>
      <xdr:spPr>
        <a:xfrm>
          <a:off x="11258550" y="42814875"/>
          <a:ext cx="1885950" cy="800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←点数を設定していただくと、自動計算されます。</a:t>
          </a:r>
        </a:p>
      </xdr:txBody>
    </xdr:sp>
    <xdr:clientData/>
  </xdr:twoCellAnchor>
  <xdr:twoCellAnchor editAs="oneCell">
    <xdr:from>
      <xdr:col>3</xdr:col>
      <xdr:colOff>28576</xdr:colOff>
      <xdr:row>266</xdr:row>
      <xdr:rowOff>28575</xdr:rowOff>
    </xdr:from>
    <xdr:to>
      <xdr:col>19</xdr:col>
      <xdr:colOff>123826</xdr:colOff>
      <xdr:row>288</xdr:row>
      <xdr:rowOff>92057</xdr:rowOff>
    </xdr:to>
    <xdr:pic>
      <xdr:nvPicPr>
        <xdr:cNvPr id="57" name="図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46272450"/>
          <a:ext cx="11068050" cy="383538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17</xdr:col>
      <xdr:colOff>505707</xdr:colOff>
      <xdr:row>256</xdr:row>
      <xdr:rowOff>85725</xdr:rowOff>
    </xdr:from>
    <xdr:to>
      <xdr:col>23</xdr:col>
      <xdr:colOff>294745</xdr:colOff>
      <xdr:row>274</xdr:row>
      <xdr:rowOff>28163</xdr:rowOff>
    </xdr:to>
    <xdr:pic>
      <xdr:nvPicPr>
        <xdr:cNvPr id="58" name="図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868907" y="44615100"/>
          <a:ext cx="3903838" cy="3028538"/>
        </a:xfrm>
        <a:prstGeom prst="rect">
          <a:avLst/>
        </a:prstGeom>
      </xdr:spPr>
    </xdr:pic>
    <xdr:clientData/>
  </xdr:twoCellAnchor>
  <xdr:twoCellAnchor>
    <xdr:from>
      <xdr:col>21</xdr:col>
      <xdr:colOff>276224</xdr:colOff>
      <xdr:row>265</xdr:row>
      <xdr:rowOff>57150</xdr:rowOff>
    </xdr:from>
    <xdr:to>
      <xdr:col>25</xdr:col>
      <xdr:colOff>571499</xdr:colOff>
      <xdr:row>267</xdr:row>
      <xdr:rowOff>114300</xdr:rowOff>
    </xdr:to>
    <xdr:sp macro="" textlink="">
      <xdr:nvSpPr>
        <xdr:cNvPr id="59" name="テキスト ボック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13382624" y="46129575"/>
          <a:ext cx="3038475" cy="400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b="1"/>
            <a:t>←点数を設定すると、配点を取得します。</a:t>
          </a:r>
        </a:p>
      </xdr:txBody>
    </xdr:sp>
    <xdr:clientData/>
  </xdr:twoCellAnchor>
  <xdr:twoCellAnchor editAs="oneCell">
    <xdr:from>
      <xdr:col>3</xdr:col>
      <xdr:colOff>28575</xdr:colOff>
      <xdr:row>396</xdr:row>
      <xdr:rowOff>19050</xdr:rowOff>
    </xdr:from>
    <xdr:to>
      <xdr:col>9</xdr:col>
      <xdr:colOff>256360</xdr:colOff>
      <xdr:row>419</xdr:row>
      <xdr:rowOff>161925</xdr:rowOff>
    </xdr:to>
    <xdr:pic>
      <xdr:nvPicPr>
        <xdr:cNvPr id="60" name="図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90575" y="52263675"/>
          <a:ext cx="4342585" cy="408622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3</xdr:col>
      <xdr:colOff>8281</xdr:colOff>
      <xdr:row>433</xdr:row>
      <xdr:rowOff>115957</xdr:rowOff>
    </xdr:from>
    <xdr:to>
      <xdr:col>23</xdr:col>
      <xdr:colOff>214190</xdr:colOff>
      <xdr:row>456</xdr:row>
      <xdr:rowOff>88527</xdr:rowOff>
    </xdr:to>
    <xdr:grpSp>
      <xdr:nvGrpSpPr>
        <xdr:cNvPr id="7" name="グループ化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770281" y="75843848"/>
          <a:ext cx="13955039" cy="3973070"/>
          <a:chOff x="770281" y="75843848"/>
          <a:chExt cx="13955039" cy="3973070"/>
        </a:xfrm>
      </xdr:grpSpPr>
      <xdr:pic>
        <xdr:nvPicPr>
          <xdr:cNvPr id="61" name="図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770281" y="76173563"/>
            <a:ext cx="13955039" cy="3643355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pic>
        <xdr:nvPicPr>
          <xdr:cNvPr id="63" name="図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34283" y="75843848"/>
            <a:ext cx="3409899" cy="2023442"/>
          </a:xfrm>
          <a:prstGeom prst="rect">
            <a:avLst/>
          </a:prstGeom>
          <a:ln>
            <a:solidFill>
              <a:sysClr val="windowText" lastClr="000000"/>
            </a:solidFill>
          </a:ln>
        </xdr:spPr>
      </xdr:pic>
      <xdr:sp macro="" textlink="">
        <xdr:nvSpPr>
          <xdr:cNvPr id="64" name="テキスト ボックス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2175013" y="76683289"/>
            <a:ext cx="3192117" cy="57688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ja-JP" altLang="en-US" b="1"/>
              <a:t>←数式が</a:t>
            </a:r>
            <a:r>
              <a:rPr lang="en-US" altLang="ja-JP" b="1"/>
              <a:t>REF</a:t>
            </a:r>
            <a:r>
              <a:rPr lang="ja-JP" altLang="en-US" b="1"/>
              <a:t>エラーになったら、点数入力シート左上の「数式修正」を実行してください。</a:t>
            </a:r>
            <a:endParaRPr lang="en-US" altLang="ja-JP" b="1"/>
          </a:p>
          <a:p>
            <a:endParaRPr lang="ja-JP" altLang="en-US" b="1"/>
          </a:p>
        </xdr:txBody>
      </xdr:sp>
    </xdr:grpSp>
    <xdr:clientData/>
  </xdr:twoCellAnchor>
  <xdr:twoCellAnchor editAs="oneCell">
    <xdr:from>
      <xdr:col>2</xdr:col>
      <xdr:colOff>238125</xdr:colOff>
      <xdr:row>298</xdr:row>
      <xdr:rowOff>38100</xdr:rowOff>
    </xdr:from>
    <xdr:to>
      <xdr:col>8</xdr:col>
      <xdr:colOff>685284</xdr:colOff>
      <xdr:row>311</xdr:row>
      <xdr:rowOff>142584</xdr:rowOff>
    </xdr:to>
    <xdr:pic>
      <xdr:nvPicPr>
        <xdr:cNvPr id="65" name="図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2475" y="63769875"/>
          <a:ext cx="4123809" cy="2333333"/>
        </a:xfrm>
        <a:prstGeom prst="rect">
          <a:avLst/>
        </a:prstGeom>
      </xdr:spPr>
    </xdr:pic>
    <xdr:clientData/>
  </xdr:twoCellAnchor>
  <xdr:twoCellAnchor editAs="oneCell">
    <xdr:from>
      <xdr:col>3</xdr:col>
      <xdr:colOff>28576</xdr:colOff>
      <xdr:row>321</xdr:row>
      <xdr:rowOff>104775</xdr:rowOff>
    </xdr:from>
    <xdr:to>
      <xdr:col>8</xdr:col>
      <xdr:colOff>133350</xdr:colOff>
      <xdr:row>336</xdr:row>
      <xdr:rowOff>35369</xdr:rowOff>
    </xdr:to>
    <xdr:pic>
      <xdr:nvPicPr>
        <xdr:cNvPr id="67" name="図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90576" y="67265550"/>
          <a:ext cx="3533774" cy="2502343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3</xdr:col>
      <xdr:colOff>19050</xdr:colOff>
      <xdr:row>342</xdr:row>
      <xdr:rowOff>19050</xdr:rowOff>
    </xdr:from>
    <xdr:to>
      <xdr:col>10</xdr:col>
      <xdr:colOff>380355</xdr:colOff>
      <xdr:row>373</xdr:row>
      <xdr:rowOff>46957</xdr:rowOff>
    </xdr:to>
    <xdr:pic>
      <xdr:nvPicPr>
        <xdr:cNvPr id="68" name="図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81050" y="71980425"/>
          <a:ext cx="5161905" cy="5342857"/>
        </a:xfrm>
        <a:prstGeom prst="rect">
          <a:avLst/>
        </a:prstGeom>
      </xdr:spPr>
    </xdr:pic>
    <xdr:clientData/>
  </xdr:twoCellAnchor>
  <xdr:twoCellAnchor editAs="oneCell">
    <xdr:from>
      <xdr:col>13</xdr:col>
      <xdr:colOff>342900</xdr:colOff>
      <xdr:row>462</xdr:row>
      <xdr:rowOff>133350</xdr:rowOff>
    </xdr:from>
    <xdr:to>
      <xdr:col>21</xdr:col>
      <xdr:colOff>437452</xdr:colOff>
      <xdr:row>481</xdr:row>
      <xdr:rowOff>113896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962900" y="78438375"/>
          <a:ext cx="5580952" cy="32285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0</xdr:row>
          <xdr:rowOff>66675</xdr:rowOff>
        </xdr:from>
        <xdr:to>
          <xdr:col>7</xdr:col>
          <xdr:colOff>333375</xdr:colOff>
          <xdr:row>0</xdr:row>
          <xdr:rowOff>381000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0</xdr:row>
          <xdr:rowOff>76200</xdr:rowOff>
        </xdr:from>
        <xdr:to>
          <xdr:col>4</xdr:col>
          <xdr:colOff>304800</xdr:colOff>
          <xdr:row>0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16385" name="addUnitBt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AA963A33-1C87-EE70-5600-B52447FCF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16386" name="repairCalc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D82C3E3E-4402-66B1-C635-CBA7F8FE1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76200</xdr:rowOff>
        </xdr:from>
        <xdr:to>
          <xdr:col>0</xdr:col>
          <xdr:colOff>647700</xdr:colOff>
          <xdr:row>1</xdr:row>
          <xdr:rowOff>276225</xdr:rowOff>
        </xdr:to>
        <xdr:sp macro="" textlink="">
          <xdr:nvSpPr>
            <xdr:cNvPr id="21505" name="addUnitBtn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4D9D972-5A36-E737-3FE9-D06D39AFF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単元追加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381000</xdr:rowOff>
        </xdr:from>
        <xdr:to>
          <xdr:col>0</xdr:col>
          <xdr:colOff>628650</xdr:colOff>
          <xdr:row>1</xdr:row>
          <xdr:rowOff>571500</xdr:rowOff>
        </xdr:to>
        <xdr:sp macro="" textlink="">
          <xdr:nvSpPr>
            <xdr:cNvPr id="21506" name="repairCalc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DC389EA4-A97E-AD8B-99D9-6E2B8BA5A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BIZ UDゴシック"/>
                  <a:ea typeface="BIZ UDゴシック"/>
                </a:rPr>
                <a:t>数式修正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BF9F2-14BB-41A8-955F-4605938BD4DF}">
  <sheetPr codeName="Sheet14"/>
  <dimension ref="A1:Q480"/>
  <sheetViews>
    <sheetView zoomScale="115" zoomScaleNormal="115" workbookViewId="0"/>
  </sheetViews>
  <sheetFormatPr defaultRowHeight="13.5" x14ac:dyDescent="0.4"/>
  <cols>
    <col min="1" max="1" width="2.625" style="20" customWidth="1"/>
    <col min="2" max="2" width="4.125" style="20" customWidth="1"/>
    <col min="3" max="3" width="3.25" style="20" customWidth="1"/>
    <col min="4" max="16384" width="9" style="20"/>
  </cols>
  <sheetData>
    <row r="1" spans="1:17" ht="18" thickBot="1" x14ac:dyDescent="0.45">
      <c r="A1" s="24" t="s">
        <v>29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5" t="s">
        <v>30</v>
      </c>
    </row>
    <row r="2" spans="1:17" ht="14.25" thickTop="1" x14ac:dyDescent="0.4"/>
    <row r="3" spans="1:17" x14ac:dyDescent="0.4">
      <c r="A3" s="20">
        <v>1</v>
      </c>
      <c r="B3" s="26" t="s">
        <v>31</v>
      </c>
    </row>
    <row r="5" spans="1:17" x14ac:dyDescent="0.4">
      <c r="B5" s="20" t="s">
        <v>33</v>
      </c>
    </row>
    <row r="6" spans="1:17" x14ac:dyDescent="0.4">
      <c r="B6" s="20" t="s">
        <v>34</v>
      </c>
    </row>
    <row r="7" spans="1:17" x14ac:dyDescent="0.4">
      <c r="B7" s="20" t="s">
        <v>32</v>
      </c>
    </row>
    <row r="10" spans="1:17" x14ac:dyDescent="0.4">
      <c r="A10" s="20">
        <v>2</v>
      </c>
      <c r="B10" s="26" t="s">
        <v>41</v>
      </c>
    </row>
    <row r="12" spans="1:17" x14ac:dyDescent="0.4">
      <c r="B12" s="20" t="s">
        <v>36</v>
      </c>
    </row>
    <row r="14" spans="1:17" x14ac:dyDescent="0.4">
      <c r="B14" s="26" t="s">
        <v>37</v>
      </c>
    </row>
    <row r="15" spans="1:17" x14ac:dyDescent="0.4">
      <c r="C15" s="20" t="s">
        <v>38</v>
      </c>
    </row>
    <row r="17" spans="2:3" x14ac:dyDescent="0.4">
      <c r="B17" s="26" t="s">
        <v>39</v>
      </c>
    </row>
    <row r="18" spans="2:3" x14ac:dyDescent="0.4">
      <c r="C18" s="20" t="s">
        <v>40</v>
      </c>
    </row>
    <row r="20" spans="2:3" x14ac:dyDescent="0.4">
      <c r="C20" s="20" t="s">
        <v>53</v>
      </c>
    </row>
    <row r="46" spans="1:3" x14ac:dyDescent="0.4">
      <c r="A46" s="20">
        <v>3</v>
      </c>
      <c r="B46" s="26" t="s">
        <v>35</v>
      </c>
    </row>
    <row r="48" spans="1:3" x14ac:dyDescent="0.4">
      <c r="B48" s="27" t="s">
        <v>42</v>
      </c>
      <c r="C48" s="20" t="s">
        <v>43</v>
      </c>
    </row>
    <row r="50" spans="3:4" x14ac:dyDescent="0.4">
      <c r="C50" s="20" t="s">
        <v>45</v>
      </c>
    </row>
    <row r="52" spans="3:4" x14ac:dyDescent="0.4">
      <c r="D52" s="20" t="s">
        <v>59</v>
      </c>
    </row>
    <row r="54" spans="3:4" x14ac:dyDescent="0.4">
      <c r="D54" s="20" t="s">
        <v>60</v>
      </c>
    </row>
    <row r="56" spans="3:4" x14ac:dyDescent="0.4">
      <c r="D56" s="20" t="s">
        <v>44</v>
      </c>
    </row>
    <row r="58" spans="3:4" x14ac:dyDescent="0.4">
      <c r="C58" s="20" t="s">
        <v>46</v>
      </c>
    </row>
    <row r="72" spans="2:4" x14ac:dyDescent="0.4">
      <c r="B72" s="27" t="s">
        <v>47</v>
      </c>
      <c r="C72" s="20" t="s">
        <v>48</v>
      </c>
    </row>
    <row r="74" spans="2:4" x14ac:dyDescent="0.4">
      <c r="C74" s="20" t="s">
        <v>49</v>
      </c>
    </row>
    <row r="76" spans="2:4" x14ac:dyDescent="0.4">
      <c r="C76" s="26" t="s">
        <v>54</v>
      </c>
    </row>
    <row r="78" spans="2:4" x14ac:dyDescent="0.4">
      <c r="D78" s="20" t="s">
        <v>55</v>
      </c>
    </row>
    <row r="79" spans="2:4" x14ac:dyDescent="0.4">
      <c r="D79" s="20" t="s">
        <v>56</v>
      </c>
    </row>
    <row r="80" spans="2:4" x14ac:dyDescent="0.4">
      <c r="D80" s="20" t="s">
        <v>57</v>
      </c>
    </row>
    <row r="96" ht="15.75" customHeight="1" x14ac:dyDescent="0.4"/>
    <row r="97" spans="3:4" ht="15.75" customHeight="1" x14ac:dyDescent="0.4"/>
    <row r="98" spans="3:4" ht="15.75" customHeight="1" x14ac:dyDescent="0.4"/>
    <row r="99" spans="3:4" ht="15.75" customHeight="1" x14ac:dyDescent="0.4"/>
    <row r="100" spans="3:4" ht="15.75" customHeight="1" x14ac:dyDescent="0.4"/>
    <row r="101" spans="3:4" ht="15.75" customHeight="1" x14ac:dyDescent="0.4"/>
    <row r="102" spans="3:4" ht="15.75" customHeight="1" x14ac:dyDescent="0.4"/>
    <row r="103" spans="3:4" ht="15.75" customHeight="1" x14ac:dyDescent="0.4"/>
    <row r="104" spans="3:4" ht="15.75" customHeight="1" x14ac:dyDescent="0.4"/>
    <row r="105" spans="3:4" ht="15.75" customHeight="1" x14ac:dyDescent="0.4"/>
    <row r="106" spans="3:4" ht="15.75" customHeight="1" x14ac:dyDescent="0.4"/>
    <row r="107" spans="3:4" x14ac:dyDescent="0.4">
      <c r="C107" s="26" t="s">
        <v>50</v>
      </c>
    </row>
    <row r="108" spans="3:4" ht="15.75" customHeight="1" x14ac:dyDescent="0.4"/>
    <row r="109" spans="3:4" x14ac:dyDescent="0.4">
      <c r="D109" s="20" t="s">
        <v>58</v>
      </c>
    </row>
    <row r="137" spans="3:4" ht="15.75" customHeight="1" x14ac:dyDescent="0.4"/>
    <row r="138" spans="3:4" ht="15.75" customHeight="1" x14ac:dyDescent="0.4"/>
    <row r="139" spans="3:4" x14ac:dyDescent="0.4">
      <c r="C139" s="26" t="s">
        <v>62</v>
      </c>
    </row>
    <row r="141" spans="3:4" x14ac:dyDescent="0.4">
      <c r="D141" s="20" t="s">
        <v>64</v>
      </c>
    </row>
    <row r="142" spans="3:4" x14ac:dyDescent="0.4">
      <c r="D142" s="20" t="s">
        <v>63</v>
      </c>
    </row>
    <row r="144" spans="3:4" x14ac:dyDescent="0.4">
      <c r="D144" s="20" t="s">
        <v>65</v>
      </c>
    </row>
    <row r="145" spans="4:4" x14ac:dyDescent="0.4">
      <c r="D145" s="20" t="s">
        <v>66</v>
      </c>
    </row>
    <row r="167" spans="3:4" x14ac:dyDescent="0.4">
      <c r="C167" s="26" t="s">
        <v>67</v>
      </c>
    </row>
    <row r="169" spans="3:4" x14ac:dyDescent="0.4">
      <c r="D169" s="20" t="s">
        <v>68</v>
      </c>
    </row>
    <row r="170" spans="3:4" x14ac:dyDescent="0.4">
      <c r="D170" s="20" t="s">
        <v>69</v>
      </c>
    </row>
    <row r="172" spans="3:4" x14ac:dyDescent="0.4">
      <c r="D172" s="26" t="s">
        <v>70</v>
      </c>
    </row>
    <row r="173" spans="3:4" x14ac:dyDescent="0.4">
      <c r="D173" s="20" t="s">
        <v>72</v>
      </c>
    </row>
    <row r="199" spans="4:4" x14ac:dyDescent="0.4">
      <c r="D199" s="20" t="s">
        <v>71</v>
      </c>
    </row>
    <row r="201" spans="4:4" x14ac:dyDescent="0.4">
      <c r="D201" s="20" t="s">
        <v>73</v>
      </c>
    </row>
    <row r="227" spans="3:4" x14ac:dyDescent="0.4">
      <c r="C227" s="26" t="s">
        <v>74</v>
      </c>
    </row>
    <row r="229" spans="3:4" x14ac:dyDescent="0.4">
      <c r="D229" s="20" t="s">
        <v>75</v>
      </c>
    </row>
    <row r="230" spans="3:4" x14ac:dyDescent="0.4">
      <c r="D230" s="20" t="s">
        <v>76</v>
      </c>
    </row>
    <row r="232" spans="3:4" x14ac:dyDescent="0.4">
      <c r="D232" s="26" t="s">
        <v>77</v>
      </c>
    </row>
    <row r="233" spans="3:4" x14ac:dyDescent="0.4">
      <c r="D233" s="20" t="s">
        <v>78</v>
      </c>
    </row>
    <row r="234" spans="3:4" x14ac:dyDescent="0.4">
      <c r="D234" s="20" t="s">
        <v>79</v>
      </c>
    </row>
    <row r="236" spans="3:4" x14ac:dyDescent="0.4">
      <c r="D236" s="28" t="s">
        <v>80</v>
      </c>
    </row>
    <row r="237" spans="3:4" x14ac:dyDescent="0.4">
      <c r="D237" s="28" t="s">
        <v>81</v>
      </c>
    </row>
    <row r="238" spans="3:4" x14ac:dyDescent="0.4">
      <c r="D238" s="26" t="s">
        <v>82</v>
      </c>
    </row>
    <row r="257" spans="3:4" x14ac:dyDescent="0.4">
      <c r="C257" s="26" t="s">
        <v>88</v>
      </c>
    </row>
    <row r="259" spans="3:4" x14ac:dyDescent="0.4">
      <c r="D259" s="20" t="s">
        <v>83</v>
      </c>
    </row>
    <row r="260" spans="3:4" x14ac:dyDescent="0.4">
      <c r="D260" s="20" t="s">
        <v>87</v>
      </c>
    </row>
    <row r="262" spans="3:4" x14ac:dyDescent="0.4">
      <c r="D262" s="28" t="s">
        <v>84</v>
      </c>
    </row>
    <row r="263" spans="3:4" x14ac:dyDescent="0.4">
      <c r="D263" s="28" t="s">
        <v>85</v>
      </c>
    </row>
    <row r="264" spans="3:4" x14ac:dyDescent="0.4">
      <c r="D264" s="28"/>
    </row>
    <row r="265" spans="3:4" x14ac:dyDescent="0.4">
      <c r="D265" s="28" t="s">
        <v>86</v>
      </c>
    </row>
    <row r="266" spans="3:4" x14ac:dyDescent="0.4">
      <c r="D266" s="26" t="s">
        <v>82</v>
      </c>
    </row>
    <row r="291" spans="2:4" x14ac:dyDescent="0.4">
      <c r="B291" s="27" t="s">
        <v>89</v>
      </c>
      <c r="C291" s="26" t="s">
        <v>114</v>
      </c>
    </row>
    <row r="292" spans="2:4" x14ac:dyDescent="0.4">
      <c r="C292" s="26"/>
    </row>
    <row r="293" spans="2:4" x14ac:dyDescent="0.4">
      <c r="C293" s="26"/>
      <c r="D293" s="20" t="s">
        <v>112</v>
      </c>
    </row>
    <row r="294" spans="2:4" x14ac:dyDescent="0.4">
      <c r="C294" s="26"/>
    </row>
    <row r="296" spans="2:4" x14ac:dyDescent="0.4">
      <c r="D296" s="20" t="s">
        <v>104</v>
      </c>
    </row>
    <row r="297" spans="2:4" x14ac:dyDescent="0.4">
      <c r="D297" s="20" t="s">
        <v>105</v>
      </c>
    </row>
    <row r="314" spans="4:4" x14ac:dyDescent="0.4">
      <c r="D314" s="20" t="s">
        <v>106</v>
      </c>
    </row>
    <row r="316" spans="4:4" x14ac:dyDescent="0.4">
      <c r="D316" s="20" t="s">
        <v>107</v>
      </c>
    </row>
    <row r="318" spans="4:4" x14ac:dyDescent="0.4">
      <c r="D318" s="26" t="s">
        <v>111</v>
      </c>
    </row>
    <row r="319" spans="4:4" x14ac:dyDescent="0.4">
      <c r="D319" s="26" t="s">
        <v>110</v>
      </c>
    </row>
    <row r="321" spans="4:4" x14ac:dyDescent="0.4">
      <c r="D321" s="20" t="s">
        <v>108</v>
      </c>
    </row>
    <row r="339" spans="4:4" x14ac:dyDescent="0.4">
      <c r="D339" s="20" t="s">
        <v>113</v>
      </c>
    </row>
    <row r="342" spans="4:4" x14ac:dyDescent="0.4">
      <c r="D342" s="20" t="s">
        <v>109</v>
      </c>
    </row>
    <row r="378" spans="2:4" x14ac:dyDescent="0.4">
      <c r="B378" s="29" t="s">
        <v>89</v>
      </c>
      <c r="C378" s="26" t="s">
        <v>100</v>
      </c>
    </row>
    <row r="380" spans="2:4" x14ac:dyDescent="0.4">
      <c r="C380" s="20" t="s">
        <v>115</v>
      </c>
      <c r="D380" s="20" t="s">
        <v>133</v>
      </c>
    </row>
    <row r="382" spans="2:4" x14ac:dyDescent="0.4">
      <c r="D382" s="20" t="s">
        <v>130</v>
      </c>
    </row>
    <row r="383" spans="2:4" x14ac:dyDescent="0.4">
      <c r="D383" s="20" t="s">
        <v>129</v>
      </c>
    </row>
    <row r="385" spans="3:4" x14ac:dyDescent="0.4">
      <c r="D385" s="20" t="s">
        <v>131</v>
      </c>
    </row>
    <row r="386" spans="3:4" x14ac:dyDescent="0.4">
      <c r="D386" s="20" t="s">
        <v>132</v>
      </c>
    </row>
    <row r="389" spans="3:4" x14ac:dyDescent="0.4">
      <c r="C389" s="20" t="s">
        <v>90</v>
      </c>
    </row>
    <row r="391" spans="3:4" x14ac:dyDescent="0.4">
      <c r="D391" s="20" t="s">
        <v>91</v>
      </c>
    </row>
    <row r="392" spans="3:4" x14ac:dyDescent="0.4">
      <c r="D392" s="20" t="s">
        <v>92</v>
      </c>
    </row>
    <row r="393" spans="3:4" x14ac:dyDescent="0.4">
      <c r="D393" s="26" t="s">
        <v>93</v>
      </c>
    </row>
    <row r="395" spans="3:4" x14ac:dyDescent="0.4">
      <c r="D395" s="20" t="s">
        <v>94</v>
      </c>
    </row>
    <row r="396" spans="3:4" x14ac:dyDescent="0.4">
      <c r="D396" s="20" t="s">
        <v>95</v>
      </c>
    </row>
    <row r="423" spans="3:4" x14ac:dyDescent="0.4">
      <c r="C423" s="26" t="s">
        <v>96</v>
      </c>
    </row>
    <row r="425" spans="3:4" x14ac:dyDescent="0.4">
      <c r="D425" s="20" t="s">
        <v>97</v>
      </c>
    </row>
    <row r="426" spans="3:4" x14ac:dyDescent="0.4">
      <c r="D426" s="20" t="s">
        <v>98</v>
      </c>
    </row>
    <row r="427" spans="3:4" x14ac:dyDescent="0.4">
      <c r="D427" s="26" t="s">
        <v>99</v>
      </c>
    </row>
    <row r="429" spans="3:4" x14ac:dyDescent="0.4">
      <c r="D429" s="20" t="s">
        <v>101</v>
      </c>
    </row>
    <row r="430" spans="3:4" x14ac:dyDescent="0.4">
      <c r="D430" s="20" t="s">
        <v>102</v>
      </c>
    </row>
    <row r="431" spans="3:4" x14ac:dyDescent="0.4">
      <c r="D431" s="20" t="s">
        <v>103</v>
      </c>
    </row>
    <row r="459" spans="3:13" x14ac:dyDescent="0.4">
      <c r="C459" s="20" t="s">
        <v>115</v>
      </c>
      <c r="D459" s="26" t="s">
        <v>116</v>
      </c>
    </row>
    <row r="461" spans="3:13" x14ac:dyDescent="0.4">
      <c r="D461" s="20" t="s">
        <v>117</v>
      </c>
    </row>
    <row r="462" spans="3:13" x14ac:dyDescent="0.4">
      <c r="D462" s="20" t="s">
        <v>118</v>
      </c>
    </row>
    <row r="464" spans="3:13" ht="12.75" customHeight="1" x14ac:dyDescent="0.4">
      <c r="M464" s="26" t="s">
        <v>121</v>
      </c>
    </row>
    <row r="466" spans="4:4" x14ac:dyDescent="0.4">
      <c r="D466" s="26" t="s">
        <v>119</v>
      </c>
    </row>
    <row r="467" spans="4:4" x14ac:dyDescent="0.4">
      <c r="D467" s="26" t="s">
        <v>120</v>
      </c>
    </row>
    <row r="469" spans="4:4" x14ac:dyDescent="0.4">
      <c r="D469" s="20" t="s">
        <v>122</v>
      </c>
    </row>
    <row r="470" spans="4:4" x14ac:dyDescent="0.4">
      <c r="D470" s="20" t="s">
        <v>123</v>
      </c>
    </row>
    <row r="471" spans="4:4" x14ac:dyDescent="0.4">
      <c r="D471" s="20" t="s">
        <v>124</v>
      </c>
    </row>
    <row r="474" spans="4:4" x14ac:dyDescent="0.4">
      <c r="D474" s="20" t="s">
        <v>128</v>
      </c>
    </row>
    <row r="476" spans="4:4" x14ac:dyDescent="0.4">
      <c r="D476" s="20" t="s">
        <v>126</v>
      </c>
    </row>
    <row r="477" spans="4:4" x14ac:dyDescent="0.4">
      <c r="D477" s="20" t="s">
        <v>127</v>
      </c>
    </row>
    <row r="480" spans="4:4" x14ac:dyDescent="0.4">
      <c r="D480" s="20" t="s">
        <v>125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B12A8-111B-4C66-913E-12BC46CC853E}">
  <sheetPr codeName="Sheet3">
    <tabColor rgb="FF008FFA"/>
  </sheetPr>
  <dimension ref="A1:B25"/>
  <sheetViews>
    <sheetView workbookViewId="0"/>
  </sheetViews>
  <sheetFormatPr defaultRowHeight="13.5" x14ac:dyDescent="0.4"/>
  <cols>
    <col min="1" max="16384" width="9" style="20"/>
  </cols>
  <sheetData>
    <row r="1" spans="1:2" ht="15" thickTop="1" thickBot="1" x14ac:dyDescent="0.45">
      <c r="A1" s="14" t="s">
        <v>22</v>
      </c>
      <c r="B1" s="15"/>
    </row>
    <row r="2" spans="1:2" ht="14.25" thickTop="1" x14ac:dyDescent="0.4">
      <c r="A2" s="18" t="s">
        <v>1</v>
      </c>
      <c r="B2" s="18" t="s">
        <v>20</v>
      </c>
    </row>
    <row r="3" spans="1:2" x14ac:dyDescent="0.4">
      <c r="A3" s="51">
        <v>1</v>
      </c>
      <c r="B3" s="51" t="s">
        <v>51</v>
      </c>
    </row>
    <row r="4" spans="1:2" x14ac:dyDescent="0.4">
      <c r="A4" s="51">
        <v>2</v>
      </c>
      <c r="B4" s="51" t="s">
        <v>52</v>
      </c>
    </row>
    <row r="5" spans="1:2" x14ac:dyDescent="0.4">
      <c r="A5" s="51">
        <v>3</v>
      </c>
      <c r="B5" s="51" t="s">
        <v>51</v>
      </c>
    </row>
    <row r="6" spans="1:2" x14ac:dyDescent="0.4">
      <c r="A6" s="51">
        <v>4</v>
      </c>
      <c r="B6" s="51" t="s">
        <v>52</v>
      </c>
    </row>
    <row r="7" spans="1:2" x14ac:dyDescent="0.4">
      <c r="A7" s="51">
        <v>5</v>
      </c>
      <c r="B7" s="51" t="s">
        <v>51</v>
      </c>
    </row>
    <row r="8" spans="1:2" x14ac:dyDescent="0.4">
      <c r="A8" s="51">
        <v>6</v>
      </c>
      <c r="B8" s="51" t="s">
        <v>52</v>
      </c>
    </row>
    <row r="9" spans="1:2" x14ac:dyDescent="0.4">
      <c r="A9" s="51">
        <v>7</v>
      </c>
      <c r="B9" s="51" t="s">
        <v>52</v>
      </c>
    </row>
    <row r="10" spans="1:2" x14ac:dyDescent="0.4">
      <c r="A10" s="51">
        <v>8</v>
      </c>
      <c r="B10" s="51" t="s">
        <v>51</v>
      </c>
    </row>
    <row r="11" spans="1:2" x14ac:dyDescent="0.4">
      <c r="A11" s="51">
        <v>9</v>
      </c>
      <c r="B11" s="51" t="s">
        <v>52</v>
      </c>
    </row>
    <row r="12" spans="1:2" x14ac:dyDescent="0.4">
      <c r="A12" s="51">
        <v>10</v>
      </c>
      <c r="B12" s="51" t="s">
        <v>52</v>
      </c>
    </row>
    <row r="13" spans="1:2" x14ac:dyDescent="0.4">
      <c r="A13" s="51">
        <v>11</v>
      </c>
      <c r="B13" s="51" t="s">
        <v>52</v>
      </c>
    </row>
    <row r="14" spans="1:2" x14ac:dyDescent="0.4">
      <c r="A14" s="51">
        <v>12</v>
      </c>
      <c r="B14" s="51" t="s">
        <v>52</v>
      </c>
    </row>
    <row r="15" spans="1:2" x14ac:dyDescent="0.4">
      <c r="A15" s="51">
        <v>13</v>
      </c>
      <c r="B15" s="51" t="s">
        <v>51</v>
      </c>
    </row>
    <row r="16" spans="1:2" x14ac:dyDescent="0.4">
      <c r="A16" s="51">
        <v>14</v>
      </c>
      <c r="B16" s="51" t="s">
        <v>52</v>
      </c>
    </row>
    <row r="17" spans="1:2" x14ac:dyDescent="0.4">
      <c r="A17" s="51">
        <v>15</v>
      </c>
      <c r="B17" s="51" t="s">
        <v>51</v>
      </c>
    </row>
    <row r="18" spans="1:2" x14ac:dyDescent="0.4">
      <c r="A18" s="51">
        <v>16</v>
      </c>
      <c r="B18" s="51" t="s">
        <v>52</v>
      </c>
    </row>
    <row r="19" spans="1:2" x14ac:dyDescent="0.4">
      <c r="A19" s="51">
        <v>17</v>
      </c>
      <c r="B19" s="51" t="s">
        <v>52</v>
      </c>
    </row>
    <row r="20" spans="1:2" x14ac:dyDescent="0.4">
      <c r="A20" s="51">
        <v>18</v>
      </c>
      <c r="B20" s="51" t="s">
        <v>51</v>
      </c>
    </row>
    <row r="21" spans="1:2" x14ac:dyDescent="0.4">
      <c r="A21" s="51">
        <v>19</v>
      </c>
      <c r="B21" s="51" t="s">
        <v>52</v>
      </c>
    </row>
    <row r="22" spans="1:2" x14ac:dyDescent="0.4">
      <c r="A22" s="51">
        <v>20</v>
      </c>
      <c r="B22" s="51" t="s">
        <v>51</v>
      </c>
    </row>
    <row r="23" spans="1:2" x14ac:dyDescent="0.4">
      <c r="A23" s="51">
        <v>21</v>
      </c>
      <c r="B23" s="51" t="s">
        <v>52</v>
      </c>
    </row>
    <row r="24" spans="1:2" x14ac:dyDescent="0.4">
      <c r="A24" s="13"/>
      <c r="B24" s="13"/>
    </row>
    <row r="25" spans="1:2" x14ac:dyDescent="0.4">
      <c r="A25" s="13"/>
      <c r="B25" s="13"/>
    </row>
  </sheetData>
  <autoFilter ref="A2:B2" xr:uid="{191B12A8-111B-4C66-913E-12BC46CC853E}"/>
  <dataConsolidate/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72EA-60DE-46E7-B122-2E795F5C6865}">
  <sheetPr codeName="Sheet4">
    <tabColor rgb="FF92D050"/>
  </sheetPr>
  <dimension ref="A1:C50"/>
  <sheetViews>
    <sheetView workbookViewId="0"/>
  </sheetViews>
  <sheetFormatPr defaultRowHeight="13.5" x14ac:dyDescent="0.4"/>
  <cols>
    <col min="1" max="1" width="15.75" style="13" customWidth="1"/>
    <col min="2" max="2" width="24" style="13" bestFit="1" customWidth="1"/>
    <col min="3" max="3" width="29.25" style="13" customWidth="1"/>
    <col min="4" max="16384" width="9" style="20"/>
  </cols>
  <sheetData>
    <row r="1" spans="1:3" ht="15" thickTop="1" thickBot="1" x14ac:dyDescent="0.2">
      <c r="A1" s="23" t="s">
        <v>25</v>
      </c>
      <c r="B1" s="22" t="s">
        <v>26</v>
      </c>
      <c r="C1" s="16"/>
    </row>
    <row r="2" spans="1:3" ht="14.25" thickTop="1" x14ac:dyDescent="0.4">
      <c r="A2" s="19" t="s">
        <v>0</v>
      </c>
      <c r="B2" s="19" t="s">
        <v>3</v>
      </c>
      <c r="C2" s="19" t="s">
        <v>19</v>
      </c>
    </row>
    <row r="3" spans="1:3" x14ac:dyDescent="0.4">
      <c r="A3" s="51" t="s">
        <v>6</v>
      </c>
      <c r="B3" s="51" t="s">
        <v>4</v>
      </c>
      <c r="C3" s="51" t="s">
        <v>156</v>
      </c>
    </row>
    <row r="4" spans="1:3" x14ac:dyDescent="0.4">
      <c r="A4" s="51" t="s">
        <v>6</v>
      </c>
      <c r="B4" s="51" t="s">
        <v>4</v>
      </c>
      <c r="C4" s="51" t="s">
        <v>157</v>
      </c>
    </row>
    <row r="5" spans="1:3" x14ac:dyDescent="0.4">
      <c r="A5" s="51" t="s">
        <v>6</v>
      </c>
      <c r="B5" s="51" t="s">
        <v>4</v>
      </c>
      <c r="C5" s="51" t="s">
        <v>158</v>
      </c>
    </row>
    <row r="6" spans="1:3" x14ac:dyDescent="0.4">
      <c r="A6" s="51" t="s">
        <v>6</v>
      </c>
      <c r="B6" s="51" t="s">
        <v>4</v>
      </c>
      <c r="C6" s="51" t="s">
        <v>159</v>
      </c>
    </row>
    <row r="7" spans="1:3" x14ac:dyDescent="0.4">
      <c r="A7" s="51" t="s">
        <v>6</v>
      </c>
      <c r="B7" s="51" t="s">
        <v>4</v>
      </c>
      <c r="C7" s="51" t="s">
        <v>160</v>
      </c>
    </row>
    <row r="8" spans="1:3" x14ac:dyDescent="0.4">
      <c r="A8" s="51" t="s">
        <v>6</v>
      </c>
      <c r="B8" s="51" t="s">
        <v>9</v>
      </c>
      <c r="C8" s="51" t="s">
        <v>162</v>
      </c>
    </row>
    <row r="9" spans="1:3" x14ac:dyDescent="0.4">
      <c r="A9" s="51" t="s">
        <v>6</v>
      </c>
      <c r="B9" s="51" t="s">
        <v>9</v>
      </c>
      <c r="C9" s="51" t="s">
        <v>163</v>
      </c>
    </row>
    <row r="10" spans="1:3" x14ac:dyDescent="0.4">
      <c r="A10" s="51" t="s">
        <v>6</v>
      </c>
      <c r="B10" s="51" t="s">
        <v>9</v>
      </c>
      <c r="C10" s="51" t="s">
        <v>164</v>
      </c>
    </row>
    <row r="11" spans="1:3" x14ac:dyDescent="0.4">
      <c r="A11" s="51" t="s">
        <v>6</v>
      </c>
      <c r="B11" s="51" t="s">
        <v>9</v>
      </c>
      <c r="C11" s="51" t="s">
        <v>165</v>
      </c>
    </row>
    <row r="12" spans="1:3" x14ac:dyDescent="0.4">
      <c r="A12" s="51" t="s">
        <v>6</v>
      </c>
      <c r="B12" s="51" t="s">
        <v>9</v>
      </c>
      <c r="C12" s="51" t="s">
        <v>166</v>
      </c>
    </row>
    <row r="13" spans="1:3" x14ac:dyDescent="0.4">
      <c r="A13" s="51" t="s">
        <v>6</v>
      </c>
      <c r="B13" s="51" t="s">
        <v>27</v>
      </c>
      <c r="C13" s="51" t="s">
        <v>134</v>
      </c>
    </row>
    <row r="46" spans="1:1" ht="21" x14ac:dyDescent="0.15">
      <c r="A46" s="13" ph="1"/>
    </row>
    <row r="50" spans="1:1" ht="21" x14ac:dyDescent="0.15">
      <c r="A50" s="13" ph="1"/>
    </row>
  </sheetData>
  <autoFilter ref="A2:C2" xr:uid="{BD0A72EA-60DE-46E7-B122-2E795F5C6865}"/>
  <dataConsolidate/>
  <phoneticPr fontId="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>
    <tabColor theme="5" tint="-0.249977111117893"/>
  </sheetPr>
  <dimension ref="A1:B13"/>
  <sheetViews>
    <sheetView zoomScaleNormal="100" workbookViewId="0">
      <pane xSplit="1" ySplit="1" topLeftCell="B2" activePane="bottomRight" state="frozen"/>
      <selection activeCell="D28" sqref="D28"/>
      <selection pane="topRight" activeCell="D28" sqref="D28"/>
      <selection pane="bottomLeft" activeCell="D28" sqref="D28"/>
      <selection pane="bottomRight"/>
    </sheetView>
  </sheetViews>
  <sheetFormatPr defaultRowHeight="12" x14ac:dyDescent="0.4"/>
  <cols>
    <col min="1" max="1" width="28.75" style="13" customWidth="1"/>
    <col min="2" max="2" width="27.5" style="13" customWidth="1"/>
    <col min="3" max="16384" width="9" style="13"/>
  </cols>
  <sheetData>
    <row r="1" spans="1:2" s="17" customFormat="1" ht="35.25" customHeight="1" x14ac:dyDescent="0.4">
      <c r="A1" s="30" t="s">
        <v>61</v>
      </c>
      <c r="B1" s="30" t="s">
        <v>14</v>
      </c>
    </row>
    <row r="2" spans="1:2" ht="13.5" x14ac:dyDescent="0.4">
      <c r="A2" s="21" t="s">
        <v>23</v>
      </c>
      <c r="B2" s="21" t="s">
        <v>24</v>
      </c>
    </row>
    <row r="3" spans="1:2" x14ac:dyDescent="0.4">
      <c r="A3" s="13" t="s">
        <v>4</v>
      </c>
      <c r="B3" s="13" t="s">
        <v>28</v>
      </c>
    </row>
    <row r="4" spans="1:2" x14ac:dyDescent="0.4">
      <c r="A4" s="13" t="s">
        <v>10</v>
      </c>
    </row>
    <row r="5" spans="1:2" x14ac:dyDescent="0.4">
      <c r="A5" s="13" t="s">
        <v>18</v>
      </c>
    </row>
    <row r="13" spans="1:2" ht="15.75" customHeight="1" x14ac:dyDescent="0.4"/>
  </sheetData>
  <autoFilter ref="A2:B38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5</xdr:col>
                    <xdr:colOff>47625</xdr:colOff>
                    <xdr:row>0</xdr:row>
                    <xdr:rowOff>66675</xdr:rowOff>
                  </from>
                  <to>
                    <xdr:col>7</xdr:col>
                    <xdr:colOff>333375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2</xdr:col>
                    <xdr:colOff>57150</xdr:colOff>
                    <xdr:row>0</xdr:row>
                    <xdr:rowOff>76200</xdr:rowOff>
                  </from>
                  <to>
                    <xdr:col>4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/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22</v>
      </c>
      <c r="B1" s="5"/>
      <c r="C1" s="6" t="s">
        <v>25</v>
      </c>
      <c r="D1" s="7" t="s">
        <v>26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23</v>
      </c>
      <c r="G2" s="12" t="s">
        <v>24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21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43C23-29F1-4F9E-8426-B8A5E41040AA}">
  <sheetPr codeName="Sheet5"/>
  <dimension ref="B1:T12"/>
  <sheetViews>
    <sheetView workbookViewId="0"/>
  </sheetViews>
  <sheetFormatPr defaultRowHeight="12" x14ac:dyDescent="0.4"/>
  <cols>
    <col min="1" max="1" width="3.125" style="51" customWidth="1"/>
    <col min="2" max="2" width="6.75" style="51" bestFit="1" customWidth="1"/>
    <col min="3" max="3" width="7.625" style="51" bestFit="1" customWidth="1"/>
    <col min="4" max="4" width="6.75" style="51" bestFit="1" customWidth="1"/>
    <col min="5" max="5" width="15" style="51" bestFit="1" customWidth="1"/>
    <col min="6" max="6" width="6.75" style="51" bestFit="1" customWidth="1"/>
    <col min="7" max="8" width="4.375" style="51" bestFit="1" customWidth="1"/>
    <col min="9" max="10" width="6.75" style="51" bestFit="1" customWidth="1"/>
    <col min="11" max="12" width="4.375" style="51" bestFit="1" customWidth="1"/>
    <col min="13" max="14" width="6.75" style="51" bestFit="1" customWidth="1"/>
    <col min="15" max="16" width="4.375" style="51" bestFit="1" customWidth="1"/>
    <col min="17" max="17" width="6.75" style="51" bestFit="1" customWidth="1"/>
    <col min="18" max="16384" width="9" style="51"/>
  </cols>
  <sheetData>
    <row r="1" spans="2:20" x14ac:dyDescent="0.4">
      <c r="E1" s="45" t="s">
        <v>148</v>
      </c>
      <c r="F1" s="45"/>
      <c r="G1" s="45"/>
      <c r="H1" s="45"/>
      <c r="I1" s="32" t="s">
        <v>152</v>
      </c>
      <c r="J1" s="45"/>
      <c r="K1" s="45"/>
      <c r="L1" s="45"/>
      <c r="M1" s="32" t="s">
        <v>154</v>
      </c>
      <c r="N1" s="45"/>
      <c r="O1" s="45"/>
      <c r="P1" s="45"/>
      <c r="Q1" s="37"/>
    </row>
    <row r="2" spans="2:20" x14ac:dyDescent="0.4">
      <c r="B2" s="43" t="s">
        <v>6</v>
      </c>
      <c r="C2" s="46" t="s">
        <v>156</v>
      </c>
      <c r="D2" s="43" t="s">
        <v>151</v>
      </c>
      <c r="E2" s="47" t="s">
        <v>135</v>
      </c>
      <c r="F2" s="44" t="s">
        <v>137</v>
      </c>
      <c r="G2" s="44" t="s">
        <v>149</v>
      </c>
      <c r="H2" s="44" t="s">
        <v>150</v>
      </c>
      <c r="I2" s="44" t="s">
        <v>135</v>
      </c>
      <c r="J2" s="44" t="s">
        <v>137</v>
      </c>
      <c r="K2" s="44" t="s">
        <v>149</v>
      </c>
      <c r="L2" s="44" t="s">
        <v>150</v>
      </c>
      <c r="M2" s="44" t="s">
        <v>135</v>
      </c>
      <c r="N2" s="44" t="s">
        <v>137</v>
      </c>
      <c r="O2" s="44" t="s">
        <v>149</v>
      </c>
      <c r="P2" s="44" t="s">
        <v>150</v>
      </c>
      <c r="Q2" s="44" t="s">
        <v>153</v>
      </c>
    </row>
    <row r="3" spans="2:20" x14ac:dyDescent="0.4">
      <c r="B3" s="54" t="s">
        <v>6</v>
      </c>
      <c r="C3" s="54" t="s">
        <v>157</v>
      </c>
      <c r="D3" s="53"/>
      <c r="E3" s="54" t="s">
        <v>142</v>
      </c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2" t="str">
        <f>$B$3&amp;$C$3&amp;$E$3</f>
        <v>国語単元2知識・技能</v>
      </c>
      <c r="S3" s="52" t="str">
        <f>$B$3&amp;$C$3&amp;$I$3</f>
        <v>国語単元2</v>
      </c>
      <c r="T3" s="52" t="str">
        <f>$B$3&amp;$C$3&amp;$M$3</f>
        <v>国語単元2</v>
      </c>
    </row>
    <row r="4" spans="2:20" x14ac:dyDescent="0.4">
      <c r="B4" s="54" t="s">
        <v>6</v>
      </c>
      <c r="C4" s="54" t="s">
        <v>158</v>
      </c>
      <c r="D4" s="54"/>
      <c r="E4" s="54" t="s">
        <v>142</v>
      </c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2" t="str">
        <f>$B$4&amp;$C$4&amp;$E$4</f>
        <v>国語単元3知識・技能</v>
      </c>
      <c r="S4" s="52" t="str">
        <f>$B$4&amp;$C$4&amp;$I$4</f>
        <v>国語単元3</v>
      </c>
      <c r="T4" s="52" t="str">
        <f>$B$4&amp;$C$4&amp;$M$4</f>
        <v>国語単元3</v>
      </c>
    </row>
    <row r="5" spans="2:20" x14ac:dyDescent="0.4">
      <c r="B5" s="54" t="s">
        <v>6</v>
      </c>
      <c r="C5" s="54" t="s">
        <v>159</v>
      </c>
      <c r="D5" s="54"/>
      <c r="E5" s="54" t="s">
        <v>142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2" t="str">
        <f>$B$5&amp;$C$5&amp;$E$5</f>
        <v>国語単元4知識・技能</v>
      </c>
      <c r="S5" s="52" t="str">
        <f>$B$5&amp;$C$5&amp;$I$5</f>
        <v>国語単元4</v>
      </c>
      <c r="T5" s="52" t="str">
        <f>$B$5&amp;$C$5&amp;$M$5</f>
        <v>国語単元4</v>
      </c>
    </row>
    <row r="6" spans="2:20" x14ac:dyDescent="0.4">
      <c r="B6" s="54" t="s">
        <v>6</v>
      </c>
      <c r="C6" s="54" t="s">
        <v>160</v>
      </c>
      <c r="D6" s="54"/>
      <c r="E6" s="54" t="s">
        <v>142</v>
      </c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2" t="str">
        <f>$B$6&amp;$C$6&amp;$E$6</f>
        <v>国語単元5知識・技能</v>
      </c>
      <c r="S6" s="52" t="str">
        <f>$B$6&amp;$C$6&amp;$I$6</f>
        <v>国語単元5</v>
      </c>
      <c r="T6" s="52" t="str">
        <f>$B$6&amp;$C$6&amp;$M$6</f>
        <v>国語単元5</v>
      </c>
    </row>
    <row r="7" spans="2:20" x14ac:dyDescent="0.4">
      <c r="B7" s="54" t="s">
        <v>6</v>
      </c>
      <c r="C7" s="54" t="s">
        <v>162</v>
      </c>
      <c r="D7" s="54"/>
      <c r="E7" s="54" t="s">
        <v>9</v>
      </c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2" t="str">
        <f>$B$7&amp;$C$7&amp;$E$7</f>
        <v>国語単元1a思考・判断・表現</v>
      </c>
      <c r="S7" s="52" t="str">
        <f>$B$7&amp;$C$7&amp;$I$7</f>
        <v>国語単元1a</v>
      </c>
      <c r="T7" s="52" t="str">
        <f>$B$7&amp;$C$7&amp;$M$7</f>
        <v>国語単元1a</v>
      </c>
    </row>
    <row r="8" spans="2:20" x14ac:dyDescent="0.4">
      <c r="B8" s="54" t="s">
        <v>6</v>
      </c>
      <c r="C8" s="54" t="s">
        <v>163</v>
      </c>
      <c r="D8" s="54"/>
      <c r="E8" s="54" t="s">
        <v>9</v>
      </c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2" t="str">
        <f>$B$8&amp;$C$8&amp;$E$8</f>
        <v>国語単元2a思考・判断・表現</v>
      </c>
      <c r="S8" s="52" t="str">
        <f>$B$8&amp;$C$8&amp;$I$8</f>
        <v>国語単元2a</v>
      </c>
      <c r="T8" s="52" t="str">
        <f>$B$8&amp;$C$8&amp;$M$8</f>
        <v>国語単元2a</v>
      </c>
    </row>
    <row r="9" spans="2:20" x14ac:dyDescent="0.4">
      <c r="B9" s="54" t="s">
        <v>6</v>
      </c>
      <c r="C9" s="54" t="s">
        <v>164</v>
      </c>
      <c r="D9" s="54"/>
      <c r="E9" s="54" t="s">
        <v>9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2" t="str">
        <f>$B$9&amp;$C$9&amp;$E$9</f>
        <v>国語単元3a思考・判断・表現</v>
      </c>
      <c r="S9" s="52" t="str">
        <f>$B$9&amp;$C$9&amp;$I$9</f>
        <v>国語単元3a</v>
      </c>
      <c r="T9" s="52" t="str">
        <f>$B$9&amp;$C$9&amp;$M$9</f>
        <v>国語単元3a</v>
      </c>
    </row>
    <row r="10" spans="2:20" x14ac:dyDescent="0.4">
      <c r="B10" s="54" t="s">
        <v>6</v>
      </c>
      <c r="C10" s="54" t="s">
        <v>165</v>
      </c>
      <c r="D10" s="54"/>
      <c r="E10" s="54" t="s">
        <v>9</v>
      </c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2" t="str">
        <f>$B$10&amp;$C$10&amp;$E$10</f>
        <v>国語単元4a思考・判断・表現</v>
      </c>
      <c r="S10" s="52" t="str">
        <f>$B$10&amp;$C$10&amp;$I$10</f>
        <v>国語単元4a</v>
      </c>
      <c r="T10" s="52" t="str">
        <f>$B$10&amp;$C$10&amp;$M$10</f>
        <v>国語単元4a</v>
      </c>
    </row>
    <row r="11" spans="2:20" x14ac:dyDescent="0.4">
      <c r="B11" s="54" t="s">
        <v>6</v>
      </c>
      <c r="C11" s="54" t="s">
        <v>166</v>
      </c>
      <c r="D11" s="54"/>
      <c r="E11" s="54" t="s">
        <v>9</v>
      </c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2" t="str">
        <f>$B$11&amp;$C$11&amp;$E$11</f>
        <v>国語単元5a思考・判断・表現</v>
      </c>
      <c r="S11" s="52" t="str">
        <f>$B$11&amp;$C$11&amp;$I$11</f>
        <v>国語単元5a</v>
      </c>
      <c r="T11" s="52" t="str">
        <f>$B$11&amp;$C$11&amp;$M$11</f>
        <v>国語単元5a</v>
      </c>
    </row>
    <row r="12" spans="2:20" x14ac:dyDescent="0.4">
      <c r="B12" s="54" t="s">
        <v>6</v>
      </c>
      <c r="C12" s="54" t="s">
        <v>134</v>
      </c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2" t="str">
        <f>$B$12&amp;$C$12&amp;$E$12</f>
        <v>国語テスト</v>
      </c>
      <c r="S12" s="52" t="str">
        <f>$B$12&amp;$C$12&amp;$I$12</f>
        <v>国語テスト</v>
      </c>
      <c r="T12" s="52" t="str">
        <f>$B$12&amp;$C$12&amp;$M$12</f>
        <v>国語テスト</v>
      </c>
    </row>
  </sheetData>
  <autoFilter ref="B2:Q12" xr:uid="{2E143C23-29F1-4F9E-8426-B8A5E41040AA}">
    <sortState xmlns:xlrd2="http://schemas.microsoft.com/office/spreadsheetml/2017/richdata2" ref="B3:Q12">
      <sortCondition ref="B2"/>
    </sortState>
  </autoFilter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A9FEC-052A-48AF-9270-CC290530B3A6}">
  <sheetPr codeName="Sheet6"/>
  <dimension ref="A1:F5"/>
  <sheetViews>
    <sheetView workbookViewId="0"/>
  </sheetViews>
  <sheetFormatPr defaultRowHeight="12" x14ac:dyDescent="0.4"/>
  <cols>
    <col min="1" max="1" width="4.75" style="51" bestFit="1" customWidth="1"/>
    <col min="2" max="2" width="24" style="51" bestFit="1" customWidth="1"/>
    <col min="3" max="5" width="7.375" style="51" bestFit="1" customWidth="1"/>
    <col min="6" max="6" width="27.625" style="51" bestFit="1" customWidth="1"/>
    <col min="7" max="16384" width="9" style="51"/>
  </cols>
  <sheetData>
    <row r="1" spans="1:6" x14ac:dyDescent="0.4">
      <c r="C1" s="57" t="s">
        <v>138</v>
      </c>
      <c r="D1" s="57"/>
      <c r="E1" s="57"/>
    </row>
    <row r="2" spans="1:6" ht="24" x14ac:dyDescent="0.4">
      <c r="A2" s="55"/>
      <c r="B2" s="55" t="s">
        <v>135</v>
      </c>
      <c r="C2" s="56" t="s">
        <v>168</v>
      </c>
      <c r="D2" s="56" t="s">
        <v>169</v>
      </c>
      <c r="E2" s="56" t="s">
        <v>170</v>
      </c>
    </row>
    <row r="3" spans="1:6" x14ac:dyDescent="0.4">
      <c r="A3" s="58" t="s">
        <v>167</v>
      </c>
      <c r="B3" s="58" t="s">
        <v>142</v>
      </c>
      <c r="F3" s="59" t="str">
        <f>$A$3&amp;$B$3</f>
        <v>国語知識・技能</v>
      </c>
    </row>
    <row r="4" spans="1:6" x14ac:dyDescent="0.4">
      <c r="A4" s="58" t="s">
        <v>167</v>
      </c>
      <c r="B4" s="58" t="s">
        <v>9</v>
      </c>
      <c r="F4" s="59" t="str">
        <f>$A$4&amp;$B$4</f>
        <v>国語思考・判断・表現</v>
      </c>
    </row>
    <row r="5" spans="1:6" x14ac:dyDescent="0.4">
      <c r="A5" s="58" t="s">
        <v>167</v>
      </c>
      <c r="B5" s="58" t="s">
        <v>146</v>
      </c>
      <c r="F5" s="59" t="str">
        <f>$A$5&amp;$B$5</f>
        <v>国語主体的に学習に取り組む態度</v>
      </c>
    </row>
  </sheetData>
  <mergeCells count="1">
    <mergeCell ref="C1:E1"/>
  </mergeCells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83FA-0CC0-4928-9652-14BF055A045F}">
  <sheetPr codeName="Sheet7"/>
  <dimension ref="A1:Y2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25" width="4.375" style="13" customWidth="1"/>
    <col min="26" max="16384" width="9" style="13"/>
  </cols>
  <sheetData>
    <row r="1" spans="1:25" x14ac:dyDescent="0.4">
      <c r="B1" s="32" t="s">
        <v>135</v>
      </c>
      <c r="C1" s="48" t="s">
        <v>138</v>
      </c>
      <c r="D1" s="49"/>
      <c r="E1" s="50"/>
      <c r="F1" s="34" t="s">
        <v>142</v>
      </c>
      <c r="G1" s="34"/>
      <c r="H1" s="34"/>
      <c r="I1" s="34"/>
      <c r="J1" s="34"/>
      <c r="K1" s="34"/>
      <c r="L1" s="34"/>
      <c r="M1" s="35"/>
      <c r="N1" s="34" t="s">
        <v>9</v>
      </c>
      <c r="O1" s="34"/>
      <c r="P1" s="34"/>
      <c r="Q1" s="34"/>
      <c r="R1" s="34"/>
      <c r="S1" s="34"/>
      <c r="T1" s="34"/>
      <c r="U1" s="35"/>
      <c r="V1" s="34" t="s">
        <v>146</v>
      </c>
      <c r="W1" s="34"/>
      <c r="X1" s="34"/>
      <c r="Y1" s="35"/>
    </row>
    <row r="2" spans="1:25" ht="61.5" x14ac:dyDescent="0.4">
      <c r="B2" s="33" t="s">
        <v>136</v>
      </c>
      <c r="C2" s="42" t="s">
        <v>139</v>
      </c>
      <c r="D2" s="40" t="s">
        <v>140</v>
      </c>
      <c r="E2" s="40" t="s">
        <v>141</v>
      </c>
      <c r="F2" s="40" t="s">
        <v>155</v>
      </c>
      <c r="G2" s="40" t="s">
        <v>172</v>
      </c>
      <c r="H2" s="40" t="s">
        <v>173</v>
      </c>
      <c r="I2" s="40" t="s">
        <v>174</v>
      </c>
      <c r="J2" s="40" t="s">
        <v>175</v>
      </c>
      <c r="K2" s="42" t="s">
        <v>143</v>
      </c>
      <c r="L2" s="40" t="s">
        <v>144</v>
      </c>
      <c r="M2" s="40" t="s">
        <v>145</v>
      </c>
      <c r="N2" s="40" t="s">
        <v>161</v>
      </c>
      <c r="O2" s="40" t="s">
        <v>176</v>
      </c>
      <c r="P2" s="40" t="s">
        <v>177</v>
      </c>
      <c r="Q2" s="40" t="s">
        <v>178</v>
      </c>
      <c r="R2" s="40" t="s">
        <v>179</v>
      </c>
      <c r="S2" s="42" t="s">
        <v>143</v>
      </c>
      <c r="T2" s="40" t="s">
        <v>144</v>
      </c>
      <c r="U2" s="40" t="s">
        <v>145</v>
      </c>
      <c r="V2" s="40" t="s">
        <v>147</v>
      </c>
      <c r="W2" s="42" t="s">
        <v>143</v>
      </c>
      <c r="X2" s="40" t="s">
        <v>144</v>
      </c>
      <c r="Y2" s="40" t="s">
        <v>145</v>
      </c>
    </row>
    <row r="3" spans="1:25" x14ac:dyDescent="0.4">
      <c r="A3" s="60"/>
      <c r="B3" s="36" t="s">
        <v>137</v>
      </c>
      <c r="C3" s="37"/>
      <c r="D3" s="36"/>
      <c r="E3" s="36"/>
      <c r="F3" s="36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見つかりません</v>
      </c>
      <c r="G3" s="36" t="str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見つかりません</v>
      </c>
      <c r="H3" s="36" t="str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見つかりません</v>
      </c>
      <c r="I3" s="36" t="str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見つかりません</v>
      </c>
      <c r="J3" s="36" t="str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見つかりません</v>
      </c>
      <c r="K3" s="36"/>
      <c r="L3" s="36"/>
      <c r="M3" s="36"/>
      <c r="N3" s="36" t="str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見つかりません</v>
      </c>
      <c r="O3" s="36" t="str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見つかりません</v>
      </c>
      <c r="P3" s="36" t="str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見つかりません</v>
      </c>
      <c r="Q3" s="36" t="str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見つかりません</v>
      </c>
      <c r="R3" s="36" t="str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見つかりません</v>
      </c>
      <c r="S3" s="36"/>
      <c r="T3" s="36"/>
      <c r="U3" s="36"/>
      <c r="V3" s="36" t="str" cm="1">
        <f t="array" aca="1" ref="V3" ca="1">_xlfn.XLOOKUP(MID(CELL("filename",$A$1),FIND("]",CELL("filename",$A$1))+1,31)&amp;$V$2&amp;$V$1,採点基準_単元別!$R$3:$R$100000,採点基準_単元別!$F$3:$F$100000,_xlfn.XLOOKUP(MID(CELL("filename",$A$1),FIND("]",CELL("filename",$A$1))+1,31)&amp;$V$2&amp;$V$1,採点基準_単元別!$S$3:$S$100000,採点基準_単元別!$J$3:$J$100000,_xlfn.XLOOKUP(MID(CELL("filename",$A$1),FIND("]",CELL("filename",$A$1))+1,31)&amp;$V$2&amp;$V$1,採点基準_単元別!$T$3:$T$100000,採点基準_単元別!$N$3:$N$100000,"見つかりません")))</f>
        <v>見つかりません</v>
      </c>
      <c r="W3" s="36"/>
      <c r="X3" s="36"/>
      <c r="Y3" s="36"/>
    </row>
    <row r="4" spans="1:25" x14ac:dyDescent="0.4">
      <c r="A4" s="60"/>
      <c r="B4" s="38" t="s">
        <v>171</v>
      </c>
      <c r="C4" s="39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</row>
    <row r="5" spans="1:25" x14ac:dyDescent="0.4">
      <c r="A5" s="41">
        <v>1</v>
      </c>
      <c r="B5" s="41" t="s">
        <v>51</v>
      </c>
      <c r="C5" s="41"/>
      <c r="D5" s="41"/>
      <c r="E5" s="41"/>
      <c r="F5" s="41"/>
      <c r="G5" s="41"/>
      <c r="H5" s="41"/>
      <c r="I5" s="41"/>
      <c r="J5" s="41"/>
      <c r="K5" s="41" t="str">
        <f>IF(COUNTA(F5:J5)=0,"未入力",SUM(F5:J5))</f>
        <v>未入力</v>
      </c>
      <c r="L5" s="41" t="str">
        <f>IFERROR(ROUNDDOWN(K5/ (IF(F5= "",0,$F$3)+IF(G5= "",0,$G$3)+IF(H5= "",0,$H$3)+IF(I5= "",0,$I$3)+IF(J5= "",0,$J$3))*100,0),"")</f>
        <v/>
      </c>
      <c r="M5" s="41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1"/>
      <c r="O5" s="41"/>
      <c r="P5" s="41"/>
      <c r="Q5" s="41"/>
      <c r="R5" s="41"/>
      <c r="S5" s="41" t="str">
        <f>IF(COUNTA(N5:R5)=0,"未入力",SUM(N5:R5))</f>
        <v>未入力</v>
      </c>
      <c r="T5" s="41" t="str">
        <f>IFERROR(ROUNDDOWN(S5/ (IF(N5= "",0,$N$3)+IF(O5= "",0,$O$3)+IF(P5= "",0,$P$3)+IF(Q5= "",0,$Q$3)+IF(R5= "",0,$R$3))*100,0),"")</f>
        <v/>
      </c>
      <c r="U5" s="41" t="str" cm="1">
        <f t="array" aca="1" ref="U5" ca="1">IF(T5 = "","",IF(T5&gt;=INDEX(採点基準_観点別!$C$3:$C$1000,_xlfn.XMATCH(MID(CELL("filename",$A$1),FIND("]",CELL("filename",$A$1))+1,31)&amp;$F$1,採点基準_観点別!$F$3:$F$1000)),"A",IF(T5&gt;=INDEX(採点基準_観点別!$D$3:$D$1000,_xlfn.XMATCH(MID(CELL("filename",$A$1),FIND("]",CELL("filename",$A$1))+1,31)&amp;$F$1,採点基準_観点別!$F$3:$F$1000)),"B",IF(T5&lt;=INDEX(採点基準_観点別!$E$3:$E$1000,_xlfn.XMATCH(MID(CELL("filename",$A$1),FIND("]",CELL("filename",$A$1))+1,31)&amp;$F$1,採点基準_観点別!$F$3:$F$1000)),"C","採点基準が不正です"))))</f>
        <v/>
      </c>
      <c r="V5" s="41"/>
      <c r="W5" s="41" t="str">
        <f>IF(COUNTA(V5)=0,"未入力",SUM(V5))</f>
        <v>未入力</v>
      </c>
      <c r="X5" s="41" t="str">
        <f>IFERROR(ROUNDDOWN(W5/ (IF(V5= "",0,$V$3))*100,0),"")</f>
        <v/>
      </c>
      <c r="Y5" s="41" t="str" cm="1">
        <f t="array" aca="1" ref="Y5" ca="1">IF(X5 = "","",IF(X5&gt;=INDEX(採点基準_観点別!$C$3:$C$1000,_xlfn.XMATCH(MID(CELL("filename",$A$1),FIND("]",CELL("filename",$A$1))+1,31)&amp;$F$1,採点基準_観点別!$F$3:$F$1000)),"A",IF(X5&gt;=INDEX(採点基準_観点別!$D$3:$D$1000,_xlfn.XMATCH(MID(CELL("filename",$A$1),FIND("]",CELL("filename",$A$1))+1,31)&amp;$F$1,採点基準_観点別!$F$3:$F$1000)),"B",IF(X5&lt;=INDEX(採点基準_観点別!$E$3:$E$1000,_xlfn.XMATCH(MID(CELL("filename",$A$1),FIND("]",CELL("filename",$A$1))+1,31)&amp;$F$1,採点基準_観点別!$F$3:$F$1000)),"C","採点基準が不正です"))))</f>
        <v/>
      </c>
    </row>
    <row r="6" spans="1:25" x14ac:dyDescent="0.4">
      <c r="A6" s="54">
        <v>2</v>
      </c>
      <c r="B6" s="54" t="s">
        <v>52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25" si="0">IF(COUNTA(F6:J6)=0,"未入力",SUM(F6:J6))</f>
        <v>未入力</v>
      </c>
      <c r="L6" s="31" t="str">
        <f t="shared" ref="L6:L25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 t="str">
        <f t="shared" ref="S6:S25" si="2">IF(COUNTA(N6:R6)=0,"未入力",SUM(N6:R6))</f>
        <v>未入力</v>
      </c>
      <c r="T6" s="31" t="str">
        <f t="shared" ref="T6:T25" si="3">IFERROR(ROUNDDOWN(S6/ (IF(N6= "",0,$N$3)+IF(O6= "",0,$O$3)+IF(P6= "",0,$P$3)+IF(Q6= "",0,$Q$3)+IF(R6= "",0,$R$3))*100,0),"")</f>
        <v/>
      </c>
      <c r="U6" s="31" t="str" cm="1">
        <f t="array" aca="1" ref="U6" ca="1">IF(T6 = "","",IF(T6&gt;=INDEX(採点基準_観点別!$C$3:$C$1000,_xlfn.XMATCH(MID(CELL("filename",$A$1),FIND("]",CELL("filename",$A$1))+1,31)&amp;$F$1,採点基準_観点別!$F$3:$F$1000)),"A",IF(T6&gt;=INDEX(採点基準_観点別!$D$3:$D$1000,_xlfn.XMATCH(MID(CELL("filename",$A$1),FIND("]",CELL("filename",$A$1))+1,31)&amp;$F$1,採点基準_観点別!$F$3:$F$1000)),"B",IF(T6&lt;=INDEX(採点基準_観点別!$E$3:$E$1000,_xlfn.XMATCH(MID(CELL("filename",$A$1),FIND("]",CELL("filename",$A$1))+1,31)&amp;$F$1,採点基準_観点別!$F$3:$F$1000)),"C","採点基準が不正です"))))</f>
        <v/>
      </c>
      <c r="V6" s="31"/>
      <c r="W6" s="31" t="str">
        <f t="shared" ref="W6:W25" si="4">IF(COUNTA(V6)=0,"未入力",SUM(V6))</f>
        <v>未入力</v>
      </c>
      <c r="X6" s="31" t="str">
        <f t="shared" ref="X6:X25" si="5">IFERROR(ROUNDDOWN(W6/ (IF(V6= "",0,$V$3))*100,0),"")</f>
        <v/>
      </c>
      <c r="Y6" s="31" t="str" cm="1">
        <f t="array" aca="1" ref="Y6" ca="1">IF(X6 = "","",IF(X6&gt;=INDEX(採点基準_観点別!$C$3:$C$1000,_xlfn.XMATCH(MID(CELL("filename",$A$1),FIND("]",CELL("filename",$A$1))+1,31)&amp;$F$1,採点基準_観点別!$F$3:$F$1000)),"A",IF(X6&gt;=INDEX(採点基準_観点別!$D$3:$D$1000,_xlfn.XMATCH(MID(CELL("filename",$A$1),FIND("]",CELL("filename",$A$1))+1,31)&amp;$F$1,採点基準_観点別!$F$3:$F$1000)),"B",IF(X6&lt;=INDEX(採点基準_観点別!$E$3:$E$1000,_xlfn.XMATCH(MID(CELL("filename",$A$1),FIND("]",CELL("filename",$A$1))+1,31)&amp;$F$1,採点基準_観点別!$F$3:$F$1000)),"C","採点基準が不正です"))))</f>
        <v/>
      </c>
    </row>
    <row r="7" spans="1:25" x14ac:dyDescent="0.4">
      <c r="A7" s="41">
        <v>3</v>
      </c>
      <c r="B7" s="41" t="s">
        <v>51</v>
      </c>
      <c r="C7" s="41"/>
      <c r="D7" s="41"/>
      <c r="E7" s="41"/>
      <c r="F7" s="41"/>
      <c r="G7" s="41"/>
      <c r="H7" s="41"/>
      <c r="I7" s="41"/>
      <c r="J7" s="41"/>
      <c r="K7" s="41" t="str">
        <f t="shared" si="0"/>
        <v>未入力</v>
      </c>
      <c r="L7" s="41" t="str">
        <f t="shared" si="1"/>
        <v/>
      </c>
      <c r="M7" s="41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1"/>
      <c r="O7" s="41"/>
      <c r="P7" s="41"/>
      <c r="Q7" s="41"/>
      <c r="R7" s="41"/>
      <c r="S7" s="41" t="str">
        <f t="shared" si="2"/>
        <v>未入力</v>
      </c>
      <c r="T7" s="41" t="str">
        <f t="shared" si="3"/>
        <v/>
      </c>
      <c r="U7" s="41" t="str" cm="1">
        <f t="array" aca="1" ref="U7" ca="1">IF(T7 = "","",IF(T7&gt;=INDEX(採点基準_観点別!$C$3:$C$1000,_xlfn.XMATCH(MID(CELL("filename",$A$1),FIND("]",CELL("filename",$A$1))+1,31)&amp;$F$1,採点基準_観点別!$F$3:$F$1000)),"A",IF(T7&gt;=INDEX(採点基準_観点別!$D$3:$D$1000,_xlfn.XMATCH(MID(CELL("filename",$A$1),FIND("]",CELL("filename",$A$1))+1,31)&amp;$F$1,採点基準_観点別!$F$3:$F$1000)),"B",IF(T7&lt;=INDEX(採点基準_観点別!$E$3:$E$1000,_xlfn.XMATCH(MID(CELL("filename",$A$1),FIND("]",CELL("filename",$A$1))+1,31)&amp;$F$1,採点基準_観点別!$F$3:$F$1000)),"C","採点基準が不正です"))))</f>
        <v/>
      </c>
      <c r="V7" s="41"/>
      <c r="W7" s="41" t="str">
        <f t="shared" si="4"/>
        <v>未入力</v>
      </c>
      <c r="X7" s="41" t="str">
        <f t="shared" si="5"/>
        <v/>
      </c>
      <c r="Y7" s="41" t="str" cm="1">
        <f t="array" aca="1" ref="Y7" ca="1">IF(X7 = "","",IF(X7&gt;=INDEX(採点基準_観点別!$C$3:$C$1000,_xlfn.XMATCH(MID(CELL("filename",$A$1),FIND("]",CELL("filename",$A$1))+1,31)&amp;$F$1,採点基準_観点別!$F$3:$F$1000)),"A",IF(X7&gt;=INDEX(採点基準_観点別!$D$3:$D$1000,_xlfn.XMATCH(MID(CELL("filename",$A$1),FIND("]",CELL("filename",$A$1))+1,31)&amp;$F$1,採点基準_観点別!$F$3:$F$1000)),"B",IF(X7&lt;=INDEX(採点基準_観点別!$E$3:$E$1000,_xlfn.XMATCH(MID(CELL("filename",$A$1),FIND("]",CELL("filename",$A$1))+1,31)&amp;$F$1,採点基準_観点別!$F$3:$F$1000)),"C","採点基準が不正です"))))</f>
        <v/>
      </c>
    </row>
    <row r="8" spans="1:25" x14ac:dyDescent="0.4">
      <c r="A8" s="54">
        <v>4</v>
      </c>
      <c r="B8" s="54" t="s">
        <v>52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 t="str">
        <f t="shared" si="2"/>
        <v>未入力</v>
      </c>
      <c r="T8" s="31" t="str">
        <f t="shared" si="3"/>
        <v/>
      </c>
      <c r="U8" s="31" t="str" cm="1">
        <f t="array" aca="1" ref="U8" ca="1">IF(T8 = "","",IF(T8&gt;=INDEX(採点基準_観点別!$C$3:$C$1000,_xlfn.XMATCH(MID(CELL("filename",$A$1),FIND("]",CELL("filename",$A$1))+1,31)&amp;$F$1,採点基準_観点別!$F$3:$F$1000)),"A",IF(T8&gt;=INDEX(採点基準_観点別!$D$3:$D$1000,_xlfn.XMATCH(MID(CELL("filename",$A$1),FIND("]",CELL("filename",$A$1))+1,31)&amp;$F$1,採点基準_観点別!$F$3:$F$1000)),"B",IF(T8&lt;=INDEX(採点基準_観点別!$E$3:$E$1000,_xlfn.XMATCH(MID(CELL("filename",$A$1),FIND("]",CELL("filename",$A$1))+1,31)&amp;$F$1,採点基準_観点別!$F$3:$F$1000)),"C","採点基準が不正です"))))</f>
        <v/>
      </c>
      <c r="V8" s="31"/>
      <c r="W8" s="31" t="str">
        <f t="shared" si="4"/>
        <v>未入力</v>
      </c>
      <c r="X8" s="31" t="str">
        <f t="shared" si="5"/>
        <v/>
      </c>
      <c r="Y8" s="31" t="str" cm="1">
        <f t="array" aca="1" ref="Y8" ca="1">IF(X8 = "","",IF(X8&gt;=INDEX(採点基準_観点別!$C$3:$C$1000,_xlfn.XMATCH(MID(CELL("filename",$A$1),FIND("]",CELL("filename",$A$1))+1,31)&amp;$F$1,採点基準_観点別!$F$3:$F$1000)),"A",IF(X8&gt;=INDEX(採点基準_観点別!$D$3:$D$1000,_xlfn.XMATCH(MID(CELL("filename",$A$1),FIND("]",CELL("filename",$A$1))+1,31)&amp;$F$1,採点基準_観点別!$F$3:$F$1000)),"B",IF(X8&lt;=INDEX(採点基準_観点別!$E$3:$E$1000,_xlfn.XMATCH(MID(CELL("filename",$A$1),FIND("]",CELL("filename",$A$1))+1,31)&amp;$F$1,採点基準_観点別!$F$3:$F$1000)),"C","採点基準が不正です"))))</f>
        <v/>
      </c>
    </row>
    <row r="9" spans="1:25" x14ac:dyDescent="0.4">
      <c r="A9" s="41">
        <v>5</v>
      </c>
      <c r="B9" s="41" t="s">
        <v>51</v>
      </c>
      <c r="C9" s="41"/>
      <c r="D9" s="41"/>
      <c r="E9" s="41"/>
      <c r="F9" s="41"/>
      <c r="G9" s="41"/>
      <c r="H9" s="41"/>
      <c r="I9" s="41"/>
      <c r="J9" s="41"/>
      <c r="K9" s="41" t="str">
        <f t="shared" si="0"/>
        <v>未入力</v>
      </c>
      <c r="L9" s="41" t="str">
        <f t="shared" si="1"/>
        <v/>
      </c>
      <c r="M9" s="41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1"/>
      <c r="O9" s="41"/>
      <c r="P9" s="41"/>
      <c r="Q9" s="41"/>
      <c r="R9" s="41"/>
      <c r="S9" s="41" t="str">
        <f t="shared" si="2"/>
        <v>未入力</v>
      </c>
      <c r="T9" s="41" t="str">
        <f t="shared" si="3"/>
        <v/>
      </c>
      <c r="U9" s="41" t="str" cm="1">
        <f t="array" aca="1" ref="U9" ca="1">IF(T9 = "","",IF(T9&gt;=INDEX(採点基準_観点別!$C$3:$C$1000,_xlfn.XMATCH(MID(CELL("filename",$A$1),FIND("]",CELL("filename",$A$1))+1,31)&amp;$F$1,採点基準_観点別!$F$3:$F$1000)),"A",IF(T9&gt;=INDEX(採点基準_観点別!$D$3:$D$1000,_xlfn.XMATCH(MID(CELL("filename",$A$1),FIND("]",CELL("filename",$A$1))+1,31)&amp;$F$1,採点基準_観点別!$F$3:$F$1000)),"B",IF(T9&lt;=INDEX(採点基準_観点別!$E$3:$E$1000,_xlfn.XMATCH(MID(CELL("filename",$A$1),FIND("]",CELL("filename",$A$1))+1,31)&amp;$F$1,採点基準_観点別!$F$3:$F$1000)),"C","採点基準が不正です"))))</f>
        <v/>
      </c>
      <c r="V9" s="41"/>
      <c r="W9" s="41" t="str">
        <f t="shared" si="4"/>
        <v>未入力</v>
      </c>
      <c r="X9" s="41" t="str">
        <f t="shared" si="5"/>
        <v/>
      </c>
      <c r="Y9" s="41" t="str" cm="1">
        <f t="array" aca="1" ref="Y9" ca="1">IF(X9 = "","",IF(X9&gt;=INDEX(採点基準_観点別!$C$3:$C$1000,_xlfn.XMATCH(MID(CELL("filename",$A$1),FIND("]",CELL("filename",$A$1))+1,31)&amp;$F$1,採点基準_観点別!$F$3:$F$1000)),"A",IF(X9&gt;=INDEX(採点基準_観点別!$D$3:$D$1000,_xlfn.XMATCH(MID(CELL("filename",$A$1),FIND("]",CELL("filename",$A$1))+1,31)&amp;$F$1,採点基準_観点別!$F$3:$F$1000)),"B",IF(X9&lt;=INDEX(採点基準_観点別!$E$3:$E$1000,_xlfn.XMATCH(MID(CELL("filename",$A$1),FIND("]",CELL("filename",$A$1))+1,31)&amp;$F$1,採点基準_観点別!$F$3:$F$1000)),"C","採点基準が不正です"))))</f>
        <v/>
      </c>
    </row>
    <row r="10" spans="1:25" x14ac:dyDescent="0.4">
      <c r="A10" s="54">
        <v>6</v>
      </c>
      <c r="B10" s="54" t="s">
        <v>52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 t="str">
        <f t="shared" si="2"/>
        <v>未入力</v>
      </c>
      <c r="T10" s="31" t="str">
        <f t="shared" si="3"/>
        <v/>
      </c>
      <c r="U10" s="31" t="str" cm="1">
        <f t="array" aca="1" ref="U10" ca="1">IF(T10 = "","",IF(T10&gt;=INDEX(採点基準_観点別!$C$3:$C$1000,_xlfn.XMATCH(MID(CELL("filename",$A$1),FIND("]",CELL("filename",$A$1))+1,31)&amp;$F$1,採点基準_観点別!$F$3:$F$1000)),"A",IF(T10&gt;=INDEX(採点基準_観点別!$D$3:$D$1000,_xlfn.XMATCH(MID(CELL("filename",$A$1),FIND("]",CELL("filename",$A$1))+1,31)&amp;$F$1,採点基準_観点別!$F$3:$F$1000)),"B",IF(T10&lt;=INDEX(採点基準_観点別!$E$3:$E$1000,_xlfn.XMATCH(MID(CELL("filename",$A$1),FIND("]",CELL("filename",$A$1))+1,31)&amp;$F$1,採点基準_観点別!$F$3:$F$1000)),"C","採点基準が不正です"))))</f>
        <v/>
      </c>
      <c r="V10" s="31"/>
      <c r="W10" s="31" t="str">
        <f t="shared" si="4"/>
        <v>未入力</v>
      </c>
      <c r="X10" s="31" t="str">
        <f t="shared" si="5"/>
        <v/>
      </c>
      <c r="Y10" s="31" t="str" cm="1">
        <f t="array" aca="1" ref="Y10" ca="1">IF(X10 = "","",IF(X10&gt;=INDEX(採点基準_観点別!$C$3:$C$1000,_xlfn.XMATCH(MID(CELL("filename",$A$1),FIND("]",CELL("filename",$A$1))+1,31)&amp;$F$1,採点基準_観点別!$F$3:$F$1000)),"A",IF(X10&gt;=INDEX(採点基準_観点別!$D$3:$D$1000,_xlfn.XMATCH(MID(CELL("filename",$A$1),FIND("]",CELL("filename",$A$1))+1,31)&amp;$F$1,採点基準_観点別!$F$3:$F$1000)),"B",IF(X10&lt;=INDEX(採点基準_観点別!$E$3:$E$1000,_xlfn.XMATCH(MID(CELL("filename",$A$1),FIND("]",CELL("filename",$A$1))+1,31)&amp;$F$1,採点基準_観点別!$F$3:$F$1000)),"C","採点基準が不正です"))))</f>
        <v/>
      </c>
    </row>
    <row r="11" spans="1:25" x14ac:dyDescent="0.4">
      <c r="A11" s="41">
        <v>7</v>
      </c>
      <c r="B11" s="41" t="s">
        <v>52</v>
      </c>
      <c r="C11" s="41"/>
      <c r="D11" s="41"/>
      <c r="E11" s="41"/>
      <c r="F11" s="41"/>
      <c r="G11" s="41"/>
      <c r="H11" s="41"/>
      <c r="I11" s="41"/>
      <c r="J11" s="41"/>
      <c r="K11" s="41" t="str">
        <f t="shared" si="0"/>
        <v>未入力</v>
      </c>
      <c r="L11" s="41" t="str">
        <f t="shared" si="1"/>
        <v/>
      </c>
      <c r="M11" s="41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1"/>
      <c r="O11" s="41"/>
      <c r="P11" s="41"/>
      <c r="Q11" s="41"/>
      <c r="R11" s="41"/>
      <c r="S11" s="41" t="str">
        <f t="shared" si="2"/>
        <v>未入力</v>
      </c>
      <c r="T11" s="41" t="str">
        <f t="shared" si="3"/>
        <v/>
      </c>
      <c r="U11" s="41" t="str" cm="1">
        <f t="array" aca="1" ref="U11" ca="1">IF(T11 = "","",IF(T11&gt;=INDEX(採点基準_観点別!$C$3:$C$1000,_xlfn.XMATCH(MID(CELL("filename",$A$1),FIND("]",CELL("filename",$A$1))+1,31)&amp;$F$1,採点基準_観点別!$F$3:$F$1000)),"A",IF(T11&gt;=INDEX(採点基準_観点別!$D$3:$D$1000,_xlfn.XMATCH(MID(CELL("filename",$A$1),FIND("]",CELL("filename",$A$1))+1,31)&amp;$F$1,採点基準_観点別!$F$3:$F$1000)),"B",IF(T11&lt;=INDEX(採点基準_観点別!$E$3:$E$1000,_xlfn.XMATCH(MID(CELL("filename",$A$1),FIND("]",CELL("filename",$A$1))+1,31)&amp;$F$1,採点基準_観点別!$F$3:$F$1000)),"C","採点基準が不正です"))))</f>
        <v/>
      </c>
      <c r="V11" s="41"/>
      <c r="W11" s="41" t="str">
        <f t="shared" si="4"/>
        <v>未入力</v>
      </c>
      <c r="X11" s="41" t="str">
        <f t="shared" si="5"/>
        <v/>
      </c>
      <c r="Y11" s="41" t="str" cm="1">
        <f t="array" aca="1" ref="Y11" ca="1">IF(X11 = "","",IF(X11&gt;=INDEX(採点基準_観点別!$C$3:$C$1000,_xlfn.XMATCH(MID(CELL("filename",$A$1),FIND("]",CELL("filename",$A$1))+1,31)&amp;$F$1,採点基準_観点別!$F$3:$F$1000)),"A",IF(X11&gt;=INDEX(採点基準_観点別!$D$3:$D$1000,_xlfn.XMATCH(MID(CELL("filename",$A$1),FIND("]",CELL("filename",$A$1))+1,31)&amp;$F$1,採点基準_観点別!$F$3:$F$1000)),"B",IF(X11&lt;=INDEX(採点基準_観点別!$E$3:$E$1000,_xlfn.XMATCH(MID(CELL("filename",$A$1),FIND("]",CELL("filename",$A$1))+1,31)&amp;$F$1,採点基準_観点別!$F$3:$F$1000)),"C","採点基準が不正です"))))</f>
        <v/>
      </c>
    </row>
    <row r="12" spans="1:25" x14ac:dyDescent="0.4">
      <c r="A12" s="54">
        <v>8</v>
      </c>
      <c r="B12" s="54" t="s">
        <v>51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 t="str">
        <f t="shared" si="2"/>
        <v>未入力</v>
      </c>
      <c r="T12" s="31" t="str">
        <f t="shared" si="3"/>
        <v/>
      </c>
      <c r="U12" s="31" t="str" cm="1">
        <f t="array" aca="1" ref="U12" ca="1">IF(T12 = "","",IF(T12&gt;=INDEX(採点基準_観点別!$C$3:$C$1000,_xlfn.XMATCH(MID(CELL("filename",$A$1),FIND("]",CELL("filename",$A$1))+1,31)&amp;$F$1,採点基準_観点別!$F$3:$F$1000)),"A",IF(T12&gt;=INDEX(採点基準_観点別!$D$3:$D$1000,_xlfn.XMATCH(MID(CELL("filename",$A$1),FIND("]",CELL("filename",$A$1))+1,31)&amp;$F$1,採点基準_観点別!$F$3:$F$1000)),"B",IF(T12&lt;=INDEX(採点基準_観点別!$E$3:$E$1000,_xlfn.XMATCH(MID(CELL("filename",$A$1),FIND("]",CELL("filename",$A$1))+1,31)&amp;$F$1,採点基準_観点別!$F$3:$F$1000)),"C","採点基準が不正です"))))</f>
        <v/>
      </c>
      <c r="V12" s="31"/>
      <c r="W12" s="31" t="str">
        <f t="shared" si="4"/>
        <v>未入力</v>
      </c>
      <c r="X12" s="31" t="str">
        <f t="shared" si="5"/>
        <v/>
      </c>
      <c r="Y12" s="31" t="str" cm="1">
        <f t="array" aca="1" ref="Y12" ca="1">IF(X12 = "","",IF(X12&gt;=INDEX(採点基準_観点別!$C$3:$C$1000,_xlfn.XMATCH(MID(CELL("filename",$A$1),FIND("]",CELL("filename",$A$1))+1,31)&amp;$F$1,採点基準_観点別!$F$3:$F$1000)),"A",IF(X12&gt;=INDEX(採点基準_観点別!$D$3:$D$1000,_xlfn.XMATCH(MID(CELL("filename",$A$1),FIND("]",CELL("filename",$A$1))+1,31)&amp;$F$1,採点基準_観点別!$F$3:$F$1000)),"B",IF(X12&lt;=INDEX(採点基準_観点別!$E$3:$E$1000,_xlfn.XMATCH(MID(CELL("filename",$A$1),FIND("]",CELL("filename",$A$1))+1,31)&amp;$F$1,採点基準_観点別!$F$3:$F$1000)),"C","採点基準が不正です"))))</f>
        <v/>
      </c>
    </row>
    <row r="13" spans="1:25" x14ac:dyDescent="0.4">
      <c r="A13" s="41">
        <v>9</v>
      </c>
      <c r="B13" s="41" t="s">
        <v>52</v>
      </c>
      <c r="C13" s="41"/>
      <c r="D13" s="41"/>
      <c r="E13" s="41"/>
      <c r="F13" s="41"/>
      <c r="G13" s="41"/>
      <c r="H13" s="41"/>
      <c r="I13" s="41"/>
      <c r="J13" s="41"/>
      <c r="K13" s="41" t="str">
        <f t="shared" si="0"/>
        <v>未入力</v>
      </c>
      <c r="L13" s="41" t="str">
        <f t="shared" si="1"/>
        <v/>
      </c>
      <c r="M13" s="41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1"/>
      <c r="O13" s="41"/>
      <c r="P13" s="41"/>
      <c r="Q13" s="41"/>
      <c r="R13" s="41"/>
      <c r="S13" s="41" t="str">
        <f t="shared" si="2"/>
        <v>未入力</v>
      </c>
      <c r="T13" s="41" t="str">
        <f t="shared" si="3"/>
        <v/>
      </c>
      <c r="U13" s="41" t="str" cm="1">
        <f t="array" aca="1" ref="U13" ca="1">IF(T13 = "","",IF(T13&gt;=INDEX(採点基準_観点別!$C$3:$C$1000,_xlfn.XMATCH(MID(CELL("filename",$A$1),FIND("]",CELL("filename",$A$1))+1,31)&amp;$F$1,採点基準_観点別!$F$3:$F$1000)),"A",IF(T13&gt;=INDEX(採点基準_観点別!$D$3:$D$1000,_xlfn.XMATCH(MID(CELL("filename",$A$1),FIND("]",CELL("filename",$A$1))+1,31)&amp;$F$1,採点基準_観点別!$F$3:$F$1000)),"B",IF(T13&lt;=INDEX(採点基準_観点別!$E$3:$E$1000,_xlfn.XMATCH(MID(CELL("filename",$A$1),FIND("]",CELL("filename",$A$1))+1,31)&amp;$F$1,採点基準_観点別!$F$3:$F$1000)),"C","採点基準が不正です"))))</f>
        <v/>
      </c>
      <c r="V13" s="41"/>
      <c r="W13" s="41" t="str">
        <f t="shared" si="4"/>
        <v>未入力</v>
      </c>
      <c r="X13" s="41" t="str">
        <f t="shared" si="5"/>
        <v/>
      </c>
      <c r="Y13" s="41" t="str" cm="1">
        <f t="array" aca="1" ref="Y13" ca="1">IF(X13 = "","",IF(X13&gt;=INDEX(採点基準_観点別!$C$3:$C$1000,_xlfn.XMATCH(MID(CELL("filename",$A$1),FIND("]",CELL("filename",$A$1))+1,31)&amp;$F$1,採点基準_観点別!$F$3:$F$1000)),"A",IF(X13&gt;=INDEX(採点基準_観点別!$D$3:$D$1000,_xlfn.XMATCH(MID(CELL("filename",$A$1),FIND("]",CELL("filename",$A$1))+1,31)&amp;$F$1,採点基準_観点別!$F$3:$F$1000)),"B",IF(X13&lt;=INDEX(採点基準_観点別!$E$3:$E$1000,_xlfn.XMATCH(MID(CELL("filename",$A$1),FIND("]",CELL("filename",$A$1))+1,31)&amp;$F$1,採点基準_観点別!$F$3:$F$1000)),"C","採点基準が不正です"))))</f>
        <v/>
      </c>
    </row>
    <row r="14" spans="1:25" x14ac:dyDescent="0.4">
      <c r="A14" s="54">
        <v>10</v>
      </c>
      <c r="B14" s="54" t="s">
        <v>52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 t="str">
        <f t="shared" si="2"/>
        <v>未入力</v>
      </c>
      <c r="T14" s="31" t="str">
        <f t="shared" si="3"/>
        <v/>
      </c>
      <c r="U14" s="31" t="str" cm="1">
        <f t="array" aca="1" ref="U14" ca="1">IF(T14 = "","",IF(T14&gt;=INDEX(採点基準_観点別!$C$3:$C$1000,_xlfn.XMATCH(MID(CELL("filename",$A$1),FIND("]",CELL("filename",$A$1))+1,31)&amp;$F$1,採点基準_観点別!$F$3:$F$1000)),"A",IF(T14&gt;=INDEX(採点基準_観点別!$D$3:$D$1000,_xlfn.XMATCH(MID(CELL("filename",$A$1),FIND("]",CELL("filename",$A$1))+1,31)&amp;$F$1,採点基準_観点別!$F$3:$F$1000)),"B",IF(T14&lt;=INDEX(採点基準_観点別!$E$3:$E$1000,_xlfn.XMATCH(MID(CELL("filename",$A$1),FIND("]",CELL("filename",$A$1))+1,31)&amp;$F$1,採点基準_観点別!$F$3:$F$1000)),"C","採点基準が不正です"))))</f>
        <v/>
      </c>
      <c r="V14" s="31"/>
      <c r="W14" s="31" t="str">
        <f t="shared" si="4"/>
        <v>未入力</v>
      </c>
      <c r="X14" s="31" t="str">
        <f t="shared" si="5"/>
        <v/>
      </c>
      <c r="Y14" s="31" t="str" cm="1">
        <f t="array" aca="1" ref="Y14" ca="1">IF(X14 = "","",IF(X14&gt;=INDEX(採点基準_観点別!$C$3:$C$1000,_xlfn.XMATCH(MID(CELL("filename",$A$1),FIND("]",CELL("filename",$A$1))+1,31)&amp;$F$1,採点基準_観点別!$F$3:$F$1000)),"A",IF(X14&gt;=INDEX(採点基準_観点別!$D$3:$D$1000,_xlfn.XMATCH(MID(CELL("filename",$A$1),FIND("]",CELL("filename",$A$1))+1,31)&amp;$F$1,採点基準_観点別!$F$3:$F$1000)),"B",IF(X14&lt;=INDEX(採点基準_観点別!$E$3:$E$1000,_xlfn.XMATCH(MID(CELL("filename",$A$1),FIND("]",CELL("filename",$A$1))+1,31)&amp;$F$1,採点基準_観点別!$F$3:$F$1000)),"C","採点基準が不正です"))))</f>
        <v/>
      </c>
    </row>
    <row r="15" spans="1:25" x14ac:dyDescent="0.4">
      <c r="A15" s="41">
        <v>11</v>
      </c>
      <c r="B15" s="41" t="s">
        <v>52</v>
      </c>
      <c r="C15" s="41"/>
      <c r="D15" s="41"/>
      <c r="E15" s="41"/>
      <c r="F15" s="41"/>
      <c r="G15" s="41"/>
      <c r="H15" s="41"/>
      <c r="I15" s="41"/>
      <c r="J15" s="41"/>
      <c r="K15" s="41" t="str">
        <f t="shared" si="0"/>
        <v>未入力</v>
      </c>
      <c r="L15" s="41" t="str">
        <f t="shared" si="1"/>
        <v/>
      </c>
      <c r="M15" s="41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1"/>
      <c r="O15" s="41"/>
      <c r="P15" s="41"/>
      <c r="Q15" s="41"/>
      <c r="R15" s="41"/>
      <c r="S15" s="41" t="str">
        <f t="shared" si="2"/>
        <v>未入力</v>
      </c>
      <c r="T15" s="41" t="str">
        <f t="shared" si="3"/>
        <v/>
      </c>
      <c r="U15" s="41" t="str" cm="1">
        <f t="array" aca="1" ref="U15" ca="1">IF(T15 = "","",IF(T15&gt;=INDEX(採点基準_観点別!$C$3:$C$1000,_xlfn.XMATCH(MID(CELL("filename",$A$1),FIND("]",CELL("filename",$A$1))+1,31)&amp;$F$1,採点基準_観点別!$F$3:$F$1000)),"A",IF(T15&gt;=INDEX(採点基準_観点別!$D$3:$D$1000,_xlfn.XMATCH(MID(CELL("filename",$A$1),FIND("]",CELL("filename",$A$1))+1,31)&amp;$F$1,採点基準_観点別!$F$3:$F$1000)),"B",IF(T15&lt;=INDEX(採点基準_観点別!$E$3:$E$1000,_xlfn.XMATCH(MID(CELL("filename",$A$1),FIND("]",CELL("filename",$A$1))+1,31)&amp;$F$1,採点基準_観点別!$F$3:$F$1000)),"C","採点基準が不正です"))))</f>
        <v/>
      </c>
      <c r="V15" s="41"/>
      <c r="W15" s="41" t="str">
        <f t="shared" si="4"/>
        <v>未入力</v>
      </c>
      <c r="X15" s="41" t="str">
        <f t="shared" si="5"/>
        <v/>
      </c>
      <c r="Y15" s="41" t="str" cm="1">
        <f t="array" aca="1" ref="Y15" ca="1">IF(X15 = "","",IF(X15&gt;=INDEX(採点基準_観点別!$C$3:$C$1000,_xlfn.XMATCH(MID(CELL("filename",$A$1),FIND("]",CELL("filename",$A$1))+1,31)&amp;$F$1,採点基準_観点別!$F$3:$F$1000)),"A",IF(X15&gt;=INDEX(採点基準_観点別!$D$3:$D$1000,_xlfn.XMATCH(MID(CELL("filename",$A$1),FIND("]",CELL("filename",$A$1))+1,31)&amp;$F$1,採点基準_観点別!$F$3:$F$1000)),"B",IF(X15&lt;=INDEX(採点基準_観点別!$E$3:$E$1000,_xlfn.XMATCH(MID(CELL("filename",$A$1),FIND("]",CELL("filename",$A$1))+1,31)&amp;$F$1,採点基準_観点別!$F$3:$F$1000)),"C","採点基準が不正です"))))</f>
        <v/>
      </c>
    </row>
    <row r="16" spans="1:25" x14ac:dyDescent="0.4">
      <c r="A16" s="54">
        <v>12</v>
      </c>
      <c r="B16" s="54" t="s">
        <v>52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 t="str">
        <f t="shared" si="2"/>
        <v>未入力</v>
      </c>
      <c r="T16" s="31" t="str">
        <f t="shared" si="3"/>
        <v/>
      </c>
      <c r="U16" s="31" t="str" cm="1">
        <f t="array" aca="1" ref="U16" ca="1">IF(T16 = "","",IF(T16&gt;=INDEX(採点基準_観点別!$C$3:$C$1000,_xlfn.XMATCH(MID(CELL("filename",$A$1),FIND("]",CELL("filename",$A$1))+1,31)&amp;$F$1,採点基準_観点別!$F$3:$F$1000)),"A",IF(T16&gt;=INDEX(採点基準_観点別!$D$3:$D$1000,_xlfn.XMATCH(MID(CELL("filename",$A$1),FIND("]",CELL("filename",$A$1))+1,31)&amp;$F$1,採点基準_観点別!$F$3:$F$1000)),"B",IF(T16&lt;=INDEX(採点基準_観点別!$E$3:$E$1000,_xlfn.XMATCH(MID(CELL("filename",$A$1),FIND("]",CELL("filename",$A$1))+1,31)&amp;$F$1,採点基準_観点別!$F$3:$F$1000)),"C","採点基準が不正です"))))</f>
        <v/>
      </c>
      <c r="V16" s="31"/>
      <c r="W16" s="31" t="str">
        <f t="shared" si="4"/>
        <v>未入力</v>
      </c>
      <c r="X16" s="31" t="str">
        <f t="shared" si="5"/>
        <v/>
      </c>
      <c r="Y16" s="31" t="str" cm="1">
        <f t="array" aca="1" ref="Y16" ca="1">IF(X16 = "","",IF(X16&gt;=INDEX(採点基準_観点別!$C$3:$C$1000,_xlfn.XMATCH(MID(CELL("filename",$A$1),FIND("]",CELL("filename",$A$1))+1,31)&amp;$F$1,採点基準_観点別!$F$3:$F$1000)),"A",IF(X16&gt;=INDEX(採点基準_観点別!$D$3:$D$1000,_xlfn.XMATCH(MID(CELL("filename",$A$1),FIND("]",CELL("filename",$A$1))+1,31)&amp;$F$1,採点基準_観点別!$F$3:$F$1000)),"B",IF(X16&lt;=INDEX(採点基準_観点別!$E$3:$E$1000,_xlfn.XMATCH(MID(CELL("filename",$A$1),FIND("]",CELL("filename",$A$1))+1,31)&amp;$F$1,採点基準_観点別!$F$3:$F$1000)),"C","採点基準が不正です"))))</f>
        <v/>
      </c>
    </row>
    <row r="17" spans="1:25" x14ac:dyDescent="0.4">
      <c r="A17" s="41">
        <v>13</v>
      </c>
      <c r="B17" s="41" t="s">
        <v>51</v>
      </c>
      <c r="C17" s="41"/>
      <c r="D17" s="41"/>
      <c r="E17" s="41"/>
      <c r="F17" s="41"/>
      <c r="G17" s="41"/>
      <c r="H17" s="41"/>
      <c r="I17" s="41"/>
      <c r="J17" s="41"/>
      <c r="K17" s="41" t="str">
        <f t="shared" si="0"/>
        <v>未入力</v>
      </c>
      <c r="L17" s="41" t="str">
        <f t="shared" si="1"/>
        <v/>
      </c>
      <c r="M17" s="41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1"/>
      <c r="O17" s="41"/>
      <c r="P17" s="41"/>
      <c r="Q17" s="41"/>
      <c r="R17" s="41"/>
      <c r="S17" s="41" t="str">
        <f t="shared" si="2"/>
        <v>未入力</v>
      </c>
      <c r="T17" s="41" t="str">
        <f t="shared" si="3"/>
        <v/>
      </c>
      <c r="U17" s="41" t="str" cm="1">
        <f t="array" aca="1" ref="U17" ca="1">IF(T17 = "","",IF(T17&gt;=INDEX(採点基準_観点別!$C$3:$C$1000,_xlfn.XMATCH(MID(CELL("filename",$A$1),FIND("]",CELL("filename",$A$1))+1,31)&amp;$F$1,採点基準_観点別!$F$3:$F$1000)),"A",IF(T17&gt;=INDEX(採点基準_観点別!$D$3:$D$1000,_xlfn.XMATCH(MID(CELL("filename",$A$1),FIND("]",CELL("filename",$A$1))+1,31)&amp;$F$1,採点基準_観点別!$F$3:$F$1000)),"B",IF(T17&lt;=INDEX(採点基準_観点別!$E$3:$E$1000,_xlfn.XMATCH(MID(CELL("filename",$A$1),FIND("]",CELL("filename",$A$1))+1,31)&amp;$F$1,採点基準_観点別!$F$3:$F$1000)),"C","採点基準が不正です"))))</f>
        <v/>
      </c>
      <c r="V17" s="41"/>
      <c r="W17" s="41" t="str">
        <f t="shared" si="4"/>
        <v>未入力</v>
      </c>
      <c r="X17" s="41" t="str">
        <f t="shared" si="5"/>
        <v/>
      </c>
      <c r="Y17" s="41" t="str" cm="1">
        <f t="array" aca="1" ref="Y17" ca="1">IF(X17 = "","",IF(X17&gt;=INDEX(採点基準_観点別!$C$3:$C$1000,_xlfn.XMATCH(MID(CELL("filename",$A$1),FIND("]",CELL("filename",$A$1))+1,31)&amp;$F$1,採点基準_観点別!$F$3:$F$1000)),"A",IF(X17&gt;=INDEX(採点基準_観点別!$D$3:$D$1000,_xlfn.XMATCH(MID(CELL("filename",$A$1),FIND("]",CELL("filename",$A$1))+1,31)&amp;$F$1,採点基準_観点別!$F$3:$F$1000)),"B",IF(X17&lt;=INDEX(採点基準_観点別!$E$3:$E$1000,_xlfn.XMATCH(MID(CELL("filename",$A$1),FIND("]",CELL("filename",$A$1))+1,31)&amp;$F$1,採点基準_観点別!$F$3:$F$1000)),"C","採点基準が不正です"))))</f>
        <v/>
      </c>
    </row>
    <row r="18" spans="1:25" x14ac:dyDescent="0.4">
      <c r="A18" s="54">
        <v>14</v>
      </c>
      <c r="B18" s="54" t="s">
        <v>52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 t="str">
        <f t="shared" si="2"/>
        <v>未入力</v>
      </c>
      <c r="T18" s="31" t="str">
        <f t="shared" si="3"/>
        <v/>
      </c>
      <c r="U18" s="31" t="str" cm="1">
        <f t="array" aca="1" ref="U18" ca="1">IF(T18 = "","",IF(T18&gt;=INDEX(採点基準_観点別!$C$3:$C$1000,_xlfn.XMATCH(MID(CELL("filename",$A$1),FIND("]",CELL("filename",$A$1))+1,31)&amp;$F$1,採点基準_観点別!$F$3:$F$1000)),"A",IF(T18&gt;=INDEX(採点基準_観点別!$D$3:$D$1000,_xlfn.XMATCH(MID(CELL("filename",$A$1),FIND("]",CELL("filename",$A$1))+1,31)&amp;$F$1,採点基準_観点別!$F$3:$F$1000)),"B",IF(T18&lt;=INDEX(採点基準_観点別!$E$3:$E$1000,_xlfn.XMATCH(MID(CELL("filename",$A$1),FIND("]",CELL("filename",$A$1))+1,31)&amp;$F$1,採点基準_観点別!$F$3:$F$1000)),"C","採点基準が不正です"))))</f>
        <v/>
      </c>
      <c r="V18" s="31"/>
      <c r="W18" s="31" t="str">
        <f t="shared" si="4"/>
        <v>未入力</v>
      </c>
      <c r="X18" s="31" t="str">
        <f t="shared" si="5"/>
        <v/>
      </c>
      <c r="Y18" s="31" t="str" cm="1">
        <f t="array" aca="1" ref="Y18" ca="1">IF(X18 = "","",IF(X18&gt;=INDEX(採点基準_観点別!$C$3:$C$1000,_xlfn.XMATCH(MID(CELL("filename",$A$1),FIND("]",CELL("filename",$A$1))+1,31)&amp;$F$1,採点基準_観点別!$F$3:$F$1000)),"A",IF(X18&gt;=INDEX(採点基準_観点別!$D$3:$D$1000,_xlfn.XMATCH(MID(CELL("filename",$A$1),FIND("]",CELL("filename",$A$1))+1,31)&amp;$F$1,採点基準_観点別!$F$3:$F$1000)),"B",IF(X18&lt;=INDEX(採点基準_観点別!$E$3:$E$1000,_xlfn.XMATCH(MID(CELL("filename",$A$1),FIND("]",CELL("filename",$A$1))+1,31)&amp;$F$1,採点基準_観点別!$F$3:$F$1000)),"C","採点基準が不正です"))))</f>
        <v/>
      </c>
    </row>
    <row r="19" spans="1:25" x14ac:dyDescent="0.4">
      <c r="A19" s="41">
        <v>15</v>
      </c>
      <c r="B19" s="41" t="s">
        <v>51</v>
      </c>
      <c r="C19" s="41"/>
      <c r="D19" s="41"/>
      <c r="E19" s="41"/>
      <c r="F19" s="41"/>
      <c r="G19" s="41"/>
      <c r="H19" s="41"/>
      <c r="I19" s="41"/>
      <c r="J19" s="41"/>
      <c r="K19" s="41" t="str">
        <f t="shared" si="0"/>
        <v>未入力</v>
      </c>
      <c r="L19" s="41" t="str">
        <f t="shared" si="1"/>
        <v/>
      </c>
      <c r="M19" s="41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1"/>
      <c r="O19" s="41"/>
      <c r="P19" s="41"/>
      <c r="Q19" s="41"/>
      <c r="R19" s="41"/>
      <c r="S19" s="41" t="str">
        <f t="shared" si="2"/>
        <v>未入力</v>
      </c>
      <c r="T19" s="41" t="str">
        <f t="shared" si="3"/>
        <v/>
      </c>
      <c r="U19" s="41" t="str" cm="1">
        <f t="array" aca="1" ref="U19" ca="1">IF(T19 = "","",IF(T19&gt;=INDEX(採点基準_観点別!$C$3:$C$1000,_xlfn.XMATCH(MID(CELL("filename",$A$1),FIND("]",CELL("filename",$A$1))+1,31)&amp;$F$1,採点基準_観点別!$F$3:$F$1000)),"A",IF(T19&gt;=INDEX(採点基準_観点別!$D$3:$D$1000,_xlfn.XMATCH(MID(CELL("filename",$A$1),FIND("]",CELL("filename",$A$1))+1,31)&amp;$F$1,採点基準_観点別!$F$3:$F$1000)),"B",IF(T19&lt;=INDEX(採点基準_観点別!$E$3:$E$1000,_xlfn.XMATCH(MID(CELL("filename",$A$1),FIND("]",CELL("filename",$A$1))+1,31)&amp;$F$1,採点基準_観点別!$F$3:$F$1000)),"C","採点基準が不正です"))))</f>
        <v/>
      </c>
      <c r="V19" s="41"/>
      <c r="W19" s="41" t="str">
        <f t="shared" si="4"/>
        <v>未入力</v>
      </c>
      <c r="X19" s="41" t="str">
        <f t="shared" si="5"/>
        <v/>
      </c>
      <c r="Y19" s="41" t="str" cm="1">
        <f t="array" aca="1" ref="Y19" ca="1">IF(X19 = "","",IF(X19&gt;=INDEX(採点基準_観点別!$C$3:$C$1000,_xlfn.XMATCH(MID(CELL("filename",$A$1),FIND("]",CELL("filename",$A$1))+1,31)&amp;$F$1,採点基準_観点別!$F$3:$F$1000)),"A",IF(X19&gt;=INDEX(採点基準_観点別!$D$3:$D$1000,_xlfn.XMATCH(MID(CELL("filename",$A$1),FIND("]",CELL("filename",$A$1))+1,31)&amp;$F$1,採点基準_観点別!$F$3:$F$1000)),"B",IF(X19&lt;=INDEX(採点基準_観点別!$E$3:$E$1000,_xlfn.XMATCH(MID(CELL("filename",$A$1),FIND("]",CELL("filename",$A$1))+1,31)&amp;$F$1,採点基準_観点別!$F$3:$F$1000)),"C","採点基準が不正です"))))</f>
        <v/>
      </c>
    </row>
    <row r="20" spans="1:25" x14ac:dyDescent="0.4">
      <c r="A20" s="54">
        <v>16</v>
      </c>
      <c r="B20" s="54" t="s">
        <v>52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 t="str">
        <f t="shared" si="2"/>
        <v>未入力</v>
      </c>
      <c r="T20" s="31" t="str">
        <f t="shared" si="3"/>
        <v/>
      </c>
      <c r="U20" s="31" t="str" cm="1">
        <f t="array" aca="1" ref="U20" ca="1">IF(T20 = "","",IF(T20&gt;=INDEX(採点基準_観点別!$C$3:$C$1000,_xlfn.XMATCH(MID(CELL("filename",$A$1),FIND("]",CELL("filename",$A$1))+1,31)&amp;$F$1,採点基準_観点別!$F$3:$F$1000)),"A",IF(T20&gt;=INDEX(採点基準_観点別!$D$3:$D$1000,_xlfn.XMATCH(MID(CELL("filename",$A$1),FIND("]",CELL("filename",$A$1))+1,31)&amp;$F$1,採点基準_観点別!$F$3:$F$1000)),"B",IF(T20&lt;=INDEX(採点基準_観点別!$E$3:$E$1000,_xlfn.XMATCH(MID(CELL("filename",$A$1),FIND("]",CELL("filename",$A$1))+1,31)&amp;$F$1,採点基準_観点別!$F$3:$F$1000)),"C","採点基準が不正です"))))</f>
        <v/>
      </c>
      <c r="V20" s="31"/>
      <c r="W20" s="31" t="str">
        <f t="shared" si="4"/>
        <v>未入力</v>
      </c>
      <c r="X20" s="31" t="str">
        <f t="shared" si="5"/>
        <v/>
      </c>
      <c r="Y20" s="31" t="str" cm="1">
        <f t="array" aca="1" ref="Y20" ca="1">IF(X20 = "","",IF(X20&gt;=INDEX(採点基準_観点別!$C$3:$C$1000,_xlfn.XMATCH(MID(CELL("filename",$A$1),FIND("]",CELL("filename",$A$1))+1,31)&amp;$F$1,採点基準_観点別!$F$3:$F$1000)),"A",IF(X20&gt;=INDEX(採点基準_観点別!$D$3:$D$1000,_xlfn.XMATCH(MID(CELL("filename",$A$1),FIND("]",CELL("filename",$A$1))+1,31)&amp;$F$1,採点基準_観点別!$F$3:$F$1000)),"B",IF(X20&lt;=INDEX(採点基準_観点別!$E$3:$E$1000,_xlfn.XMATCH(MID(CELL("filename",$A$1),FIND("]",CELL("filename",$A$1))+1,31)&amp;$F$1,採点基準_観点別!$F$3:$F$1000)),"C","採点基準が不正です"))))</f>
        <v/>
      </c>
    </row>
    <row r="21" spans="1:25" x14ac:dyDescent="0.4">
      <c r="A21" s="41">
        <v>17</v>
      </c>
      <c r="B21" s="41" t="s">
        <v>52</v>
      </c>
      <c r="C21" s="41"/>
      <c r="D21" s="41"/>
      <c r="E21" s="41"/>
      <c r="F21" s="41"/>
      <c r="G21" s="41"/>
      <c r="H21" s="41"/>
      <c r="I21" s="41"/>
      <c r="J21" s="41"/>
      <c r="K21" s="41" t="str">
        <f t="shared" si="0"/>
        <v>未入力</v>
      </c>
      <c r="L21" s="41" t="str">
        <f t="shared" si="1"/>
        <v/>
      </c>
      <c r="M21" s="41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1"/>
      <c r="O21" s="41"/>
      <c r="P21" s="41"/>
      <c r="Q21" s="41"/>
      <c r="R21" s="41"/>
      <c r="S21" s="41" t="str">
        <f t="shared" si="2"/>
        <v>未入力</v>
      </c>
      <c r="T21" s="41" t="str">
        <f t="shared" si="3"/>
        <v/>
      </c>
      <c r="U21" s="41" t="str" cm="1">
        <f t="array" aca="1" ref="U21" ca="1">IF(T21 = "","",IF(T21&gt;=INDEX(採点基準_観点別!$C$3:$C$1000,_xlfn.XMATCH(MID(CELL("filename",$A$1),FIND("]",CELL("filename",$A$1))+1,31)&amp;$F$1,採点基準_観点別!$F$3:$F$1000)),"A",IF(T21&gt;=INDEX(採点基準_観点別!$D$3:$D$1000,_xlfn.XMATCH(MID(CELL("filename",$A$1),FIND("]",CELL("filename",$A$1))+1,31)&amp;$F$1,採点基準_観点別!$F$3:$F$1000)),"B",IF(T21&lt;=INDEX(採点基準_観点別!$E$3:$E$1000,_xlfn.XMATCH(MID(CELL("filename",$A$1),FIND("]",CELL("filename",$A$1))+1,31)&amp;$F$1,採点基準_観点別!$F$3:$F$1000)),"C","採点基準が不正です"))))</f>
        <v/>
      </c>
      <c r="V21" s="41"/>
      <c r="W21" s="41" t="str">
        <f t="shared" si="4"/>
        <v>未入力</v>
      </c>
      <c r="X21" s="41" t="str">
        <f t="shared" si="5"/>
        <v/>
      </c>
      <c r="Y21" s="41" t="str" cm="1">
        <f t="array" aca="1" ref="Y21" ca="1">IF(X21 = "","",IF(X21&gt;=INDEX(採点基準_観点別!$C$3:$C$1000,_xlfn.XMATCH(MID(CELL("filename",$A$1),FIND("]",CELL("filename",$A$1))+1,31)&amp;$F$1,採点基準_観点別!$F$3:$F$1000)),"A",IF(X21&gt;=INDEX(採点基準_観点別!$D$3:$D$1000,_xlfn.XMATCH(MID(CELL("filename",$A$1),FIND("]",CELL("filename",$A$1))+1,31)&amp;$F$1,採点基準_観点別!$F$3:$F$1000)),"B",IF(X21&lt;=INDEX(採点基準_観点別!$E$3:$E$1000,_xlfn.XMATCH(MID(CELL("filename",$A$1),FIND("]",CELL("filename",$A$1))+1,31)&amp;$F$1,採点基準_観点別!$F$3:$F$1000)),"C","採点基準が不正です"))))</f>
        <v/>
      </c>
    </row>
    <row r="22" spans="1:25" x14ac:dyDescent="0.4">
      <c r="A22" s="54">
        <v>18</v>
      </c>
      <c r="B22" s="54" t="s">
        <v>51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 t="str">
        <f t="shared" si="2"/>
        <v>未入力</v>
      </c>
      <c r="T22" s="31" t="str">
        <f t="shared" si="3"/>
        <v/>
      </c>
      <c r="U22" s="31" t="str" cm="1">
        <f t="array" aca="1" ref="U22" ca="1">IF(T22 = "","",IF(T22&gt;=INDEX(採点基準_観点別!$C$3:$C$1000,_xlfn.XMATCH(MID(CELL("filename",$A$1),FIND("]",CELL("filename",$A$1))+1,31)&amp;$F$1,採点基準_観点別!$F$3:$F$1000)),"A",IF(T22&gt;=INDEX(採点基準_観点別!$D$3:$D$1000,_xlfn.XMATCH(MID(CELL("filename",$A$1),FIND("]",CELL("filename",$A$1))+1,31)&amp;$F$1,採点基準_観点別!$F$3:$F$1000)),"B",IF(T22&lt;=INDEX(採点基準_観点別!$E$3:$E$1000,_xlfn.XMATCH(MID(CELL("filename",$A$1),FIND("]",CELL("filename",$A$1))+1,31)&amp;$F$1,採点基準_観点別!$F$3:$F$1000)),"C","採点基準が不正です"))))</f>
        <v/>
      </c>
      <c r="V22" s="31"/>
      <c r="W22" s="31" t="str">
        <f t="shared" si="4"/>
        <v>未入力</v>
      </c>
      <c r="X22" s="31" t="str">
        <f t="shared" si="5"/>
        <v/>
      </c>
      <c r="Y22" s="31" t="str" cm="1">
        <f t="array" aca="1" ref="Y22" ca="1">IF(X22 = "","",IF(X22&gt;=INDEX(採点基準_観点別!$C$3:$C$1000,_xlfn.XMATCH(MID(CELL("filename",$A$1),FIND("]",CELL("filename",$A$1))+1,31)&amp;$F$1,採点基準_観点別!$F$3:$F$1000)),"A",IF(X22&gt;=INDEX(採点基準_観点別!$D$3:$D$1000,_xlfn.XMATCH(MID(CELL("filename",$A$1),FIND("]",CELL("filename",$A$1))+1,31)&amp;$F$1,採点基準_観点別!$F$3:$F$1000)),"B",IF(X22&lt;=INDEX(採点基準_観点別!$E$3:$E$1000,_xlfn.XMATCH(MID(CELL("filename",$A$1),FIND("]",CELL("filename",$A$1))+1,31)&amp;$F$1,採点基準_観点別!$F$3:$F$1000)),"C","採点基準が不正です"))))</f>
        <v/>
      </c>
    </row>
    <row r="23" spans="1:25" x14ac:dyDescent="0.4">
      <c r="A23" s="41">
        <v>19</v>
      </c>
      <c r="B23" s="41" t="s">
        <v>52</v>
      </c>
      <c r="C23" s="41"/>
      <c r="D23" s="41"/>
      <c r="E23" s="41"/>
      <c r="F23" s="41"/>
      <c r="G23" s="41"/>
      <c r="H23" s="41"/>
      <c r="I23" s="41"/>
      <c r="J23" s="41"/>
      <c r="K23" s="41" t="str">
        <f t="shared" si="0"/>
        <v>未入力</v>
      </c>
      <c r="L23" s="41" t="str">
        <f t="shared" si="1"/>
        <v/>
      </c>
      <c r="M23" s="41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1"/>
      <c r="O23" s="41"/>
      <c r="P23" s="41"/>
      <c r="Q23" s="41"/>
      <c r="R23" s="41"/>
      <c r="S23" s="41" t="str">
        <f t="shared" si="2"/>
        <v>未入力</v>
      </c>
      <c r="T23" s="41" t="str">
        <f t="shared" si="3"/>
        <v/>
      </c>
      <c r="U23" s="41" t="str" cm="1">
        <f t="array" aca="1" ref="U23" ca="1">IF(T23 = "","",IF(T23&gt;=INDEX(採点基準_観点別!$C$3:$C$1000,_xlfn.XMATCH(MID(CELL("filename",$A$1),FIND("]",CELL("filename",$A$1))+1,31)&amp;$F$1,採点基準_観点別!$F$3:$F$1000)),"A",IF(T23&gt;=INDEX(採点基準_観点別!$D$3:$D$1000,_xlfn.XMATCH(MID(CELL("filename",$A$1),FIND("]",CELL("filename",$A$1))+1,31)&amp;$F$1,採点基準_観点別!$F$3:$F$1000)),"B",IF(T23&lt;=INDEX(採点基準_観点別!$E$3:$E$1000,_xlfn.XMATCH(MID(CELL("filename",$A$1),FIND("]",CELL("filename",$A$1))+1,31)&amp;$F$1,採点基準_観点別!$F$3:$F$1000)),"C","採点基準が不正です"))))</f>
        <v/>
      </c>
      <c r="V23" s="41"/>
      <c r="W23" s="41" t="str">
        <f t="shared" si="4"/>
        <v>未入力</v>
      </c>
      <c r="X23" s="41" t="str">
        <f t="shared" si="5"/>
        <v/>
      </c>
      <c r="Y23" s="41" t="str" cm="1">
        <f t="array" aca="1" ref="Y23" ca="1">IF(X23 = "","",IF(X23&gt;=INDEX(採点基準_観点別!$C$3:$C$1000,_xlfn.XMATCH(MID(CELL("filename",$A$1),FIND("]",CELL("filename",$A$1))+1,31)&amp;$F$1,採点基準_観点別!$F$3:$F$1000)),"A",IF(X23&gt;=INDEX(採点基準_観点別!$D$3:$D$1000,_xlfn.XMATCH(MID(CELL("filename",$A$1),FIND("]",CELL("filename",$A$1))+1,31)&amp;$F$1,採点基準_観点別!$F$3:$F$1000)),"B",IF(X23&lt;=INDEX(採点基準_観点別!$E$3:$E$1000,_xlfn.XMATCH(MID(CELL("filename",$A$1),FIND("]",CELL("filename",$A$1))+1,31)&amp;$F$1,採点基準_観点別!$F$3:$F$1000)),"C","採点基準が不正です"))))</f>
        <v/>
      </c>
    </row>
    <row r="24" spans="1:25" x14ac:dyDescent="0.4">
      <c r="A24" s="54">
        <v>20</v>
      </c>
      <c r="B24" s="54" t="s">
        <v>51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 t="str">
        <f t="shared" si="2"/>
        <v>未入力</v>
      </c>
      <c r="T24" s="31" t="str">
        <f t="shared" si="3"/>
        <v/>
      </c>
      <c r="U24" s="31" t="str" cm="1">
        <f t="array" aca="1" ref="U24" ca="1">IF(T24 = "","",IF(T24&gt;=INDEX(採点基準_観点別!$C$3:$C$1000,_xlfn.XMATCH(MID(CELL("filename",$A$1),FIND("]",CELL("filename",$A$1))+1,31)&amp;$F$1,採点基準_観点別!$F$3:$F$1000)),"A",IF(T24&gt;=INDEX(採点基準_観点別!$D$3:$D$1000,_xlfn.XMATCH(MID(CELL("filename",$A$1),FIND("]",CELL("filename",$A$1))+1,31)&amp;$F$1,採点基準_観点別!$F$3:$F$1000)),"B",IF(T24&lt;=INDEX(採点基準_観点別!$E$3:$E$1000,_xlfn.XMATCH(MID(CELL("filename",$A$1),FIND("]",CELL("filename",$A$1))+1,31)&amp;$F$1,採点基準_観点別!$F$3:$F$1000)),"C","採点基準が不正です"))))</f>
        <v/>
      </c>
      <c r="V24" s="31"/>
      <c r="W24" s="31" t="str">
        <f t="shared" si="4"/>
        <v>未入力</v>
      </c>
      <c r="X24" s="31" t="str">
        <f t="shared" si="5"/>
        <v/>
      </c>
      <c r="Y24" s="31" t="str" cm="1">
        <f t="array" aca="1" ref="Y24" ca="1">IF(X24 = "","",IF(X24&gt;=INDEX(採点基準_観点別!$C$3:$C$1000,_xlfn.XMATCH(MID(CELL("filename",$A$1),FIND("]",CELL("filename",$A$1))+1,31)&amp;$F$1,採点基準_観点別!$F$3:$F$1000)),"A",IF(X24&gt;=INDEX(採点基準_観点別!$D$3:$D$1000,_xlfn.XMATCH(MID(CELL("filename",$A$1),FIND("]",CELL("filename",$A$1))+1,31)&amp;$F$1,採点基準_観点別!$F$3:$F$1000)),"B",IF(X24&lt;=INDEX(採点基準_観点別!$E$3:$E$1000,_xlfn.XMATCH(MID(CELL("filename",$A$1),FIND("]",CELL("filename",$A$1))+1,31)&amp;$F$1,採点基準_観点別!$F$3:$F$1000)),"C","採点基準が不正です"))))</f>
        <v/>
      </c>
    </row>
    <row r="25" spans="1:25" x14ac:dyDescent="0.4">
      <c r="A25" s="41">
        <v>21</v>
      </c>
      <c r="B25" s="41" t="s">
        <v>52</v>
      </c>
      <c r="C25" s="41"/>
      <c r="D25" s="41"/>
      <c r="E25" s="41"/>
      <c r="F25" s="41"/>
      <c r="G25" s="41"/>
      <c r="H25" s="41"/>
      <c r="I25" s="41"/>
      <c r="J25" s="41"/>
      <c r="K25" s="41" t="str">
        <f t="shared" si="0"/>
        <v>未入力</v>
      </c>
      <c r="L25" s="41" t="str">
        <f t="shared" si="1"/>
        <v/>
      </c>
      <c r="M25" s="41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1"/>
      <c r="O25" s="41"/>
      <c r="P25" s="41"/>
      <c r="Q25" s="41"/>
      <c r="R25" s="41"/>
      <c r="S25" s="41" t="str">
        <f t="shared" si="2"/>
        <v>未入力</v>
      </c>
      <c r="T25" s="41" t="str">
        <f t="shared" si="3"/>
        <v/>
      </c>
      <c r="U25" s="41" t="str" cm="1">
        <f t="array" aca="1" ref="U25" ca="1">IF(T25 = "","",IF(T25&gt;=INDEX(採点基準_観点別!$C$3:$C$1000,_xlfn.XMATCH(MID(CELL("filename",$A$1),FIND("]",CELL("filename",$A$1))+1,31)&amp;$F$1,採点基準_観点別!$F$3:$F$1000)),"A",IF(T25&gt;=INDEX(採点基準_観点別!$D$3:$D$1000,_xlfn.XMATCH(MID(CELL("filename",$A$1),FIND("]",CELL("filename",$A$1))+1,31)&amp;$F$1,採点基準_観点別!$F$3:$F$1000)),"B",IF(T25&lt;=INDEX(採点基準_観点別!$E$3:$E$1000,_xlfn.XMATCH(MID(CELL("filename",$A$1),FIND("]",CELL("filename",$A$1))+1,31)&amp;$F$1,採点基準_観点別!$F$3:$F$1000)),"C","採点基準が不正です"))))</f>
        <v/>
      </c>
      <c r="V25" s="41"/>
      <c r="W25" s="41" t="str">
        <f t="shared" si="4"/>
        <v>未入力</v>
      </c>
      <c r="X25" s="41" t="str">
        <f t="shared" si="5"/>
        <v/>
      </c>
      <c r="Y25" s="41" t="str" cm="1">
        <f t="array" aca="1" ref="Y25" ca="1">IF(X25 = "","",IF(X25&gt;=INDEX(採点基準_観点別!$C$3:$C$1000,_xlfn.XMATCH(MID(CELL("filename",$A$1),FIND("]",CELL("filename",$A$1))+1,31)&amp;$F$1,採点基準_観点別!$F$3:$F$1000)),"A",IF(X25&gt;=INDEX(採点基準_観点別!$D$3:$D$1000,_xlfn.XMATCH(MID(CELL("filename",$A$1),FIND("]",CELL("filename",$A$1))+1,31)&amp;$F$1,採点基準_観点別!$F$3:$F$1000)),"B",IF(X25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F9DEE-8906-407D-BE48-F0A3CC33CC8E}">
  <sheetPr codeName="Sheet8"/>
  <dimension ref="A1:Y2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2" x14ac:dyDescent="0.4"/>
  <cols>
    <col min="1" max="2" width="9" style="13"/>
    <col min="3" max="25" width="4.375" style="13" customWidth="1"/>
    <col min="26" max="16384" width="9" style="13"/>
  </cols>
  <sheetData>
    <row r="1" spans="1:25" x14ac:dyDescent="0.4">
      <c r="B1" s="32" t="s">
        <v>135</v>
      </c>
      <c r="C1" s="48" t="s">
        <v>138</v>
      </c>
      <c r="D1" s="49"/>
      <c r="E1" s="50"/>
      <c r="F1" s="34" t="s">
        <v>142</v>
      </c>
      <c r="G1" s="34"/>
      <c r="H1" s="34"/>
      <c r="I1" s="34"/>
      <c r="J1" s="34"/>
      <c r="K1" s="34"/>
      <c r="L1" s="34"/>
      <c r="M1" s="35"/>
      <c r="N1" s="34" t="s">
        <v>9</v>
      </c>
      <c r="O1" s="34"/>
      <c r="P1" s="34"/>
      <c r="Q1" s="34"/>
      <c r="R1" s="34"/>
      <c r="S1" s="34"/>
      <c r="T1" s="34"/>
      <c r="U1" s="35"/>
      <c r="V1" s="34" t="s">
        <v>146</v>
      </c>
      <c r="W1" s="34"/>
      <c r="X1" s="34"/>
      <c r="Y1" s="35"/>
    </row>
    <row r="2" spans="1:25" ht="61.5" x14ac:dyDescent="0.4">
      <c r="B2" s="33" t="s">
        <v>136</v>
      </c>
      <c r="C2" s="42" t="s">
        <v>139</v>
      </c>
      <c r="D2" s="40" t="s">
        <v>140</v>
      </c>
      <c r="E2" s="40" t="s">
        <v>141</v>
      </c>
      <c r="F2" s="40" t="s">
        <v>155</v>
      </c>
      <c r="G2" s="40" t="s">
        <v>172</v>
      </c>
      <c r="H2" s="40" t="s">
        <v>173</v>
      </c>
      <c r="I2" s="40" t="s">
        <v>174</v>
      </c>
      <c r="J2" s="40" t="s">
        <v>175</v>
      </c>
      <c r="K2" s="42" t="s">
        <v>143</v>
      </c>
      <c r="L2" s="40" t="s">
        <v>144</v>
      </c>
      <c r="M2" s="40" t="s">
        <v>145</v>
      </c>
      <c r="N2" s="40" t="s">
        <v>161</v>
      </c>
      <c r="O2" s="40" t="s">
        <v>176</v>
      </c>
      <c r="P2" s="40" t="s">
        <v>177</v>
      </c>
      <c r="Q2" s="40" t="s">
        <v>178</v>
      </c>
      <c r="R2" s="40" t="s">
        <v>179</v>
      </c>
      <c r="S2" s="42" t="s">
        <v>143</v>
      </c>
      <c r="T2" s="40" t="s">
        <v>144</v>
      </c>
      <c r="U2" s="40" t="s">
        <v>145</v>
      </c>
      <c r="V2" s="40" t="s">
        <v>147</v>
      </c>
      <c r="W2" s="42" t="s">
        <v>143</v>
      </c>
      <c r="X2" s="40" t="s">
        <v>144</v>
      </c>
      <c r="Y2" s="40" t="s">
        <v>145</v>
      </c>
    </row>
    <row r="3" spans="1:25" x14ac:dyDescent="0.4">
      <c r="A3" s="60"/>
      <c r="B3" s="36" t="s">
        <v>137</v>
      </c>
      <c r="C3" s="37"/>
      <c r="D3" s="36"/>
      <c r="E3" s="36"/>
      <c r="F3" s="36" t="str" cm="1">
        <f t="array" aca="1" ref="F3" ca="1">_xlfn.XLOOKUP(MID(CELL("filename",$A$1),FIND("]",CELL("filename",$A$1))+1,31)&amp;$F$2&amp;$F$1,採点基準_単元別!$R$3:$R$100000,採点基準_単元別!$F$3:$F$100000,_xlfn.XLOOKUP(MID(CELL("filename",$A$1),FIND("]",CELL("filename",$A$1))+1,31)&amp;$F$2&amp;$F$1,採点基準_単元別!$S$3:$S$100000,採点基準_単元別!$J$3:$J$100000,_xlfn.XLOOKUP(MID(CELL("filename",$A$1),FIND("]",CELL("filename",$A$1))+1,31)&amp;$F$2&amp;$F$1,採点基準_単元別!$T$3:$T$100000,採点基準_単元別!$N$3:$N$100000,"見つかりません")))</f>
        <v>見つかりません</v>
      </c>
      <c r="G3" s="36" cm="1">
        <f t="array" aca="1" ref="G3" ca="1">_xlfn.XLOOKUP(MID(CELL("filename",$A$1),FIND("]",CELL("filename",$A$1))+1,31)&amp;$G$2&amp;$F$1,採点基準_単元別!$R$3:$R$100000,採点基準_単元別!$F$3:$F$100000,_xlfn.XLOOKUP(MID(CELL("filename",$A$1),FIND("]",CELL("filename",$A$1))+1,31)&amp;$G$2&amp;$F$1,採点基準_単元別!$S$3:$S$100000,採点基準_単元別!$J$3:$J$100000,_xlfn.XLOOKUP(MID(CELL("filename",$A$1),FIND("]",CELL("filename",$A$1))+1,31)&amp;$G$2&amp;$F$1,採点基準_単元別!$T$3:$T$100000,採点基準_単元別!$N$3:$N$100000,"見つかりません")))</f>
        <v>0</v>
      </c>
      <c r="H3" s="36" cm="1">
        <f t="array" aca="1" ref="H3" ca="1">_xlfn.XLOOKUP(MID(CELL("filename",$A$1),FIND("]",CELL("filename",$A$1))+1,31)&amp;$H$2&amp;$F$1,採点基準_単元別!$R$3:$R$100000,採点基準_単元別!$F$3:$F$100000,_xlfn.XLOOKUP(MID(CELL("filename",$A$1),FIND("]",CELL("filename",$A$1))+1,31)&amp;$H$2&amp;$F$1,採点基準_単元別!$S$3:$S$100000,採点基準_単元別!$J$3:$J$100000,_xlfn.XLOOKUP(MID(CELL("filename",$A$1),FIND("]",CELL("filename",$A$1))+1,31)&amp;$H$2&amp;$F$1,採点基準_単元別!$T$3:$T$100000,採点基準_単元別!$N$3:$N$100000,"見つかりません")))</f>
        <v>0</v>
      </c>
      <c r="I3" s="36" cm="1">
        <f t="array" aca="1" ref="I3" ca="1">_xlfn.XLOOKUP(MID(CELL("filename",$A$1),FIND("]",CELL("filename",$A$1))+1,31)&amp;$I$2&amp;$F$1,採点基準_単元別!$R$3:$R$100000,採点基準_単元別!$F$3:$F$100000,_xlfn.XLOOKUP(MID(CELL("filename",$A$1),FIND("]",CELL("filename",$A$1))+1,31)&amp;$I$2&amp;$F$1,採点基準_単元別!$S$3:$S$100000,採点基準_単元別!$J$3:$J$100000,_xlfn.XLOOKUP(MID(CELL("filename",$A$1),FIND("]",CELL("filename",$A$1))+1,31)&amp;$I$2&amp;$F$1,採点基準_単元別!$T$3:$T$100000,採点基準_単元別!$N$3:$N$100000,"見つかりません")))</f>
        <v>0</v>
      </c>
      <c r="J3" s="36" cm="1">
        <f t="array" aca="1" ref="J3" ca="1">_xlfn.XLOOKUP(MID(CELL("filename",$A$1),FIND("]",CELL("filename",$A$1))+1,31)&amp;$J$2&amp;$F$1,採点基準_単元別!$R$3:$R$100000,採点基準_単元別!$F$3:$F$100000,_xlfn.XLOOKUP(MID(CELL("filename",$A$1),FIND("]",CELL("filename",$A$1))+1,31)&amp;$J$2&amp;$F$1,採点基準_単元別!$S$3:$S$100000,採点基準_単元別!$J$3:$J$100000,_xlfn.XLOOKUP(MID(CELL("filename",$A$1),FIND("]",CELL("filename",$A$1))+1,31)&amp;$J$2&amp;$F$1,採点基準_単元別!$T$3:$T$100000,採点基準_単元別!$N$3:$N$100000,"見つかりません")))</f>
        <v>0</v>
      </c>
      <c r="K3" s="36"/>
      <c r="L3" s="36"/>
      <c r="M3" s="36"/>
      <c r="N3" s="36" cm="1">
        <f t="array" aca="1" ref="N3" ca="1">_xlfn.XLOOKUP(MID(CELL("filename",$A$1),FIND("]",CELL("filename",$A$1))+1,31)&amp;$N$2&amp;$N$1,採点基準_単元別!$R$3:$R$100000,採点基準_単元別!$F$3:$F$100000,_xlfn.XLOOKUP(MID(CELL("filename",$A$1),FIND("]",CELL("filename",$A$1))+1,31)&amp;$N$2&amp;$N$1,採点基準_単元別!$S$3:$S$100000,採点基準_単元別!$J$3:$J$100000,_xlfn.XLOOKUP(MID(CELL("filename",$A$1),FIND("]",CELL("filename",$A$1))+1,31)&amp;$N$2&amp;$N$1,採点基準_単元別!$T$3:$T$100000,採点基準_単元別!$N$3:$N$100000,"見つかりません")))</f>
        <v>0</v>
      </c>
      <c r="O3" s="36" cm="1">
        <f t="array" aca="1" ref="O3" ca="1">_xlfn.XLOOKUP(MID(CELL("filename",$A$1),FIND("]",CELL("filename",$A$1))+1,31)&amp;$O$2&amp;$N$1,採点基準_単元別!$R$3:$R$100000,採点基準_単元別!$F$3:$F$100000,_xlfn.XLOOKUP(MID(CELL("filename",$A$1),FIND("]",CELL("filename",$A$1))+1,31)&amp;$O$2&amp;$N$1,採点基準_単元別!$S$3:$S$100000,採点基準_単元別!$J$3:$J$100000,_xlfn.XLOOKUP(MID(CELL("filename",$A$1),FIND("]",CELL("filename",$A$1))+1,31)&amp;$O$2&amp;$N$1,採点基準_単元別!$T$3:$T$100000,採点基準_単元別!$N$3:$N$100000,"見つかりません")))</f>
        <v>0</v>
      </c>
      <c r="P3" s="36" cm="1">
        <f t="array" aca="1" ref="P3" ca="1">_xlfn.XLOOKUP(MID(CELL("filename",$A$1),FIND("]",CELL("filename",$A$1))+1,31)&amp;$P$2&amp;$N$1,採点基準_単元別!$R$3:$R$100000,採点基準_単元別!$F$3:$F$100000,_xlfn.XLOOKUP(MID(CELL("filename",$A$1),FIND("]",CELL("filename",$A$1))+1,31)&amp;$P$2&amp;$N$1,採点基準_単元別!$S$3:$S$100000,採点基準_単元別!$J$3:$J$100000,_xlfn.XLOOKUP(MID(CELL("filename",$A$1),FIND("]",CELL("filename",$A$1))+1,31)&amp;$P$2&amp;$N$1,採点基準_単元別!$T$3:$T$100000,採点基準_単元別!$N$3:$N$100000,"見つかりません")))</f>
        <v>0</v>
      </c>
      <c r="Q3" s="36" cm="1">
        <f t="array" aca="1" ref="Q3" ca="1">_xlfn.XLOOKUP(MID(CELL("filename",$A$1),FIND("]",CELL("filename",$A$1))+1,31)&amp;$Q$2&amp;$N$1,採点基準_単元別!$R$3:$R$100000,採点基準_単元別!$F$3:$F$100000,_xlfn.XLOOKUP(MID(CELL("filename",$A$1),FIND("]",CELL("filename",$A$1))+1,31)&amp;$Q$2&amp;$N$1,採点基準_単元別!$S$3:$S$100000,採点基準_単元別!$J$3:$J$100000,_xlfn.XLOOKUP(MID(CELL("filename",$A$1),FIND("]",CELL("filename",$A$1))+1,31)&amp;$Q$2&amp;$N$1,採点基準_単元別!$T$3:$T$100000,採点基準_単元別!$N$3:$N$100000,"見つかりません")))</f>
        <v>0</v>
      </c>
      <c r="R3" s="36" cm="1">
        <f t="array" aca="1" ref="R3" ca="1">_xlfn.XLOOKUP(MID(CELL("filename",$A$1),FIND("]",CELL("filename",$A$1))+1,31)&amp;$R$2&amp;$N$1,採点基準_単元別!$R$3:$R$100000,採点基準_単元別!$F$3:$F$100000,_xlfn.XLOOKUP(MID(CELL("filename",$A$1),FIND("]",CELL("filename",$A$1))+1,31)&amp;$R$2&amp;$N$1,採点基準_単元別!$S$3:$S$100000,採点基準_単元別!$J$3:$J$100000,_xlfn.XLOOKUP(MID(CELL("filename",$A$1),FIND("]",CELL("filename",$A$1))+1,31)&amp;$R$2&amp;$N$1,採点基準_単元別!$T$3:$T$100000,採点基準_単元別!$N$3:$N$100000,"見つかりません")))</f>
        <v>0</v>
      </c>
      <c r="S3" s="36"/>
      <c r="T3" s="36"/>
      <c r="U3" s="36"/>
      <c r="V3" s="36" t="str" cm="1">
        <f t="array" aca="1" ref="V3" ca="1">_xlfn.XLOOKUP(MID(CELL("filename",$A$1),FIND("]",CELL("filename",$A$1))+1,31)&amp;$V$2&amp;$V$1,採点基準_単元別!$R$3:$R$100000,採点基準_単元別!$F$3:$F$100000,_xlfn.XLOOKUP(MID(CELL("filename",$A$1),FIND("]",CELL("filename",$A$1))+1,31)&amp;$V$2&amp;$V$1,採点基準_単元別!$S$3:$S$100000,採点基準_単元別!$J$3:$J$100000,_xlfn.XLOOKUP(MID(CELL("filename",$A$1),FIND("]",CELL("filename",$A$1))+1,31)&amp;$V$2&amp;$V$1,採点基準_単元別!$T$3:$T$100000,採点基準_単元別!$N$3:$N$100000,"見つかりません")))</f>
        <v>見つかりません</v>
      </c>
      <c r="W3" s="36"/>
      <c r="X3" s="36"/>
      <c r="Y3" s="36"/>
    </row>
    <row r="4" spans="1:25" x14ac:dyDescent="0.4">
      <c r="A4" s="60"/>
      <c r="B4" s="38" t="s">
        <v>171</v>
      </c>
      <c r="C4" s="39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</row>
    <row r="5" spans="1:25" x14ac:dyDescent="0.4">
      <c r="A5" s="41">
        <v>1</v>
      </c>
      <c r="B5" s="41" t="s">
        <v>51</v>
      </c>
      <c r="C5" s="41"/>
      <c r="D5" s="41"/>
      <c r="E5" s="41"/>
      <c r="F5" s="41"/>
      <c r="G5" s="41"/>
      <c r="H5" s="41"/>
      <c r="I5" s="41"/>
      <c r="J5" s="41"/>
      <c r="K5" s="41" t="str">
        <f>IF(COUNTA(F5:J5)=0,"未入力",SUM(F5:J5))</f>
        <v>未入力</v>
      </c>
      <c r="L5" s="41" t="str">
        <f>IFERROR(ROUNDDOWN(K5/ (IF(F5= "",0,$F$3)+IF(G5= "",0,$G$3)+IF(H5= "",0,$H$3)+IF(I5= "",0,$I$3)+IF(J5= "",0,$J$3))*100,0),"")</f>
        <v/>
      </c>
      <c r="M5" s="41" t="str" cm="1">
        <f t="array" aca="1" ref="M5" ca="1">IF(L5 = "","",IF(L5&gt;=INDEX(採点基準_観点別!$C$3:$C$1000,_xlfn.XMATCH(MID(CELL("filename",$A$1),FIND("]",CELL("filename",$A$1))+1,31)&amp;$F$1,採点基準_観点別!$F$3:$F$1000)),"A",IF(L5&gt;=INDEX(採点基準_観点別!$D$3:$D$1000,_xlfn.XMATCH(MID(CELL("filename",$A$1),FIND("]",CELL("filename",$A$1))+1,31)&amp;$F$1,採点基準_観点別!$F$3:$F$1000)),"B",IF(L5&lt;=INDEX(採点基準_観点別!$E$3:$E$1000,_xlfn.XMATCH(MID(CELL("filename",$A$1),FIND("]",CELL("filename",$A$1))+1,31)&amp;$F$1,採点基準_観点別!$F$3:$F$1000)),"C","採点基準が不正です"))))</f>
        <v/>
      </c>
      <c r="N5" s="41"/>
      <c r="O5" s="41"/>
      <c r="P5" s="41"/>
      <c r="Q5" s="41"/>
      <c r="R5" s="41"/>
      <c r="S5" s="41" t="str">
        <f>IF(COUNTA(N5:R5)=0,"未入力",SUM(N5:R5))</f>
        <v>未入力</v>
      </c>
      <c r="T5" s="41" t="str">
        <f>IFERROR(ROUNDDOWN(S5/ (IF(N5= "",0,$N$3)+IF(O5= "",0,$O$3)+IF(P5= "",0,$P$3)+IF(Q5= "",0,$Q$3)+IF(R5= "",0,$R$3))*100,0),"")</f>
        <v/>
      </c>
      <c r="U5" s="41" t="str" cm="1">
        <f t="array" aca="1" ref="U5" ca="1">IF(T5 = "","",IF(T5&gt;=INDEX(採点基準_観点別!$C$3:$C$1000,_xlfn.XMATCH(MID(CELL("filename",$A$1),FIND("]",CELL("filename",$A$1))+1,31)&amp;$F$1,採点基準_観点別!$F$3:$F$1000)),"A",IF(T5&gt;=INDEX(採点基準_観点別!$D$3:$D$1000,_xlfn.XMATCH(MID(CELL("filename",$A$1),FIND("]",CELL("filename",$A$1))+1,31)&amp;$F$1,採点基準_観点別!$F$3:$F$1000)),"B",IF(T5&lt;=INDEX(採点基準_観点別!$E$3:$E$1000,_xlfn.XMATCH(MID(CELL("filename",$A$1),FIND("]",CELL("filename",$A$1))+1,31)&amp;$F$1,採点基準_観点別!$F$3:$F$1000)),"C","採点基準が不正です"))))</f>
        <v/>
      </c>
      <c r="V5" s="41"/>
      <c r="W5" s="41" t="str">
        <f>IF(COUNTA(V5)=0,"未入力",SUM(V5))</f>
        <v>未入力</v>
      </c>
      <c r="X5" s="41" t="str">
        <f>IFERROR(ROUNDDOWN(W5/ (IF(V5= "",0,$V$3))*100,0),"")</f>
        <v/>
      </c>
      <c r="Y5" s="41" t="str" cm="1">
        <f t="array" aca="1" ref="Y5" ca="1">IF(X5 = "","",IF(X5&gt;=INDEX(採点基準_観点別!$C$3:$C$1000,_xlfn.XMATCH(MID(CELL("filename",$A$1),FIND("]",CELL("filename",$A$1))+1,31)&amp;$F$1,採点基準_観点別!$F$3:$F$1000)),"A",IF(X5&gt;=INDEX(採点基準_観点別!$D$3:$D$1000,_xlfn.XMATCH(MID(CELL("filename",$A$1),FIND("]",CELL("filename",$A$1))+1,31)&amp;$F$1,採点基準_観点別!$F$3:$F$1000)),"B",IF(X5&lt;=INDEX(採点基準_観点別!$E$3:$E$1000,_xlfn.XMATCH(MID(CELL("filename",$A$1),FIND("]",CELL("filename",$A$1))+1,31)&amp;$F$1,採点基準_観点別!$F$3:$F$1000)),"C","採点基準が不正です"))))</f>
        <v/>
      </c>
    </row>
    <row r="6" spans="1:25" x14ac:dyDescent="0.4">
      <c r="A6" s="54">
        <v>2</v>
      </c>
      <c r="B6" s="54" t="s">
        <v>52</v>
      </c>
      <c r="C6" s="31"/>
      <c r="D6" s="31"/>
      <c r="E6" s="31"/>
      <c r="F6" s="31"/>
      <c r="G6" s="31"/>
      <c r="H6" s="31"/>
      <c r="I6" s="31"/>
      <c r="J6" s="31"/>
      <c r="K6" s="31" t="str">
        <f t="shared" ref="K6:K25" si="0">IF(COUNTA(F6:J6)=0,"未入力",SUM(F6:J6))</f>
        <v>未入力</v>
      </c>
      <c r="L6" s="31" t="str">
        <f t="shared" ref="L6:L25" si="1">IFERROR(ROUNDDOWN(K6/ (IF(F6= "",0,$F$3)+IF(G6= "",0,$G$3)+IF(H6= "",0,$H$3)+IF(I6= "",0,$I$3)+IF(J6= "",0,$J$3))*100,0),"")</f>
        <v/>
      </c>
      <c r="M6" s="31" t="str" cm="1">
        <f t="array" aca="1" ref="M6" ca="1">IF(L6 = "","",IF(L6&gt;=INDEX(採点基準_観点別!$C$3:$C$1000,_xlfn.XMATCH(MID(CELL("filename",$A$1),FIND("]",CELL("filename",$A$1))+1,31)&amp;$F$1,採点基準_観点別!$F$3:$F$1000)),"A",IF(L6&gt;=INDEX(採点基準_観点別!$D$3:$D$1000,_xlfn.XMATCH(MID(CELL("filename",$A$1),FIND("]",CELL("filename",$A$1))+1,31)&amp;$F$1,採点基準_観点別!$F$3:$F$1000)),"B",IF(L6&lt;=INDEX(採点基準_観点別!$E$3:$E$1000,_xlfn.XMATCH(MID(CELL("filename",$A$1),FIND("]",CELL("filename",$A$1))+1,31)&amp;$F$1,採点基準_観点別!$F$3:$F$1000)),"C","採点基準が不正です"))))</f>
        <v/>
      </c>
      <c r="N6" s="31"/>
      <c r="O6" s="31"/>
      <c r="P6" s="31"/>
      <c r="Q6" s="31"/>
      <c r="R6" s="31"/>
      <c r="S6" s="31" t="str">
        <f t="shared" ref="S6:S25" si="2">IF(COUNTA(N6:R6)=0,"未入力",SUM(N6:R6))</f>
        <v>未入力</v>
      </c>
      <c r="T6" s="31" t="str">
        <f t="shared" ref="T6:T25" si="3">IFERROR(ROUNDDOWN(S6/ (IF(N6= "",0,$N$3)+IF(O6= "",0,$O$3)+IF(P6= "",0,$P$3)+IF(Q6= "",0,$Q$3)+IF(R6= "",0,$R$3))*100,0),"")</f>
        <v/>
      </c>
      <c r="U6" s="31" t="str" cm="1">
        <f t="array" aca="1" ref="U6" ca="1">IF(T6 = "","",IF(T6&gt;=INDEX(採点基準_観点別!$C$3:$C$1000,_xlfn.XMATCH(MID(CELL("filename",$A$1),FIND("]",CELL("filename",$A$1))+1,31)&amp;$F$1,採点基準_観点別!$F$3:$F$1000)),"A",IF(T6&gt;=INDEX(採点基準_観点別!$D$3:$D$1000,_xlfn.XMATCH(MID(CELL("filename",$A$1),FIND("]",CELL("filename",$A$1))+1,31)&amp;$F$1,採点基準_観点別!$F$3:$F$1000)),"B",IF(T6&lt;=INDEX(採点基準_観点別!$E$3:$E$1000,_xlfn.XMATCH(MID(CELL("filename",$A$1),FIND("]",CELL("filename",$A$1))+1,31)&amp;$F$1,採点基準_観点別!$F$3:$F$1000)),"C","採点基準が不正です"))))</f>
        <v/>
      </c>
      <c r="V6" s="31"/>
      <c r="W6" s="31" t="str">
        <f t="shared" ref="W6:W25" si="4">IF(COUNTA(V6)=0,"未入力",SUM(V6))</f>
        <v>未入力</v>
      </c>
      <c r="X6" s="31" t="str">
        <f t="shared" ref="X6:X25" si="5">IFERROR(ROUNDDOWN(W6/ (IF(V6= "",0,$V$3))*100,0),"")</f>
        <v/>
      </c>
      <c r="Y6" s="31" t="str" cm="1">
        <f t="array" aca="1" ref="Y6" ca="1">IF(X6 = "","",IF(X6&gt;=INDEX(採点基準_観点別!$C$3:$C$1000,_xlfn.XMATCH(MID(CELL("filename",$A$1),FIND("]",CELL("filename",$A$1))+1,31)&amp;$F$1,採点基準_観点別!$F$3:$F$1000)),"A",IF(X6&gt;=INDEX(採点基準_観点別!$D$3:$D$1000,_xlfn.XMATCH(MID(CELL("filename",$A$1),FIND("]",CELL("filename",$A$1))+1,31)&amp;$F$1,採点基準_観点別!$F$3:$F$1000)),"B",IF(X6&lt;=INDEX(採点基準_観点別!$E$3:$E$1000,_xlfn.XMATCH(MID(CELL("filename",$A$1),FIND("]",CELL("filename",$A$1))+1,31)&amp;$F$1,採点基準_観点別!$F$3:$F$1000)),"C","採点基準が不正です"))))</f>
        <v/>
      </c>
    </row>
    <row r="7" spans="1:25" x14ac:dyDescent="0.4">
      <c r="A7" s="41">
        <v>3</v>
      </c>
      <c r="B7" s="41" t="s">
        <v>51</v>
      </c>
      <c r="C7" s="41"/>
      <c r="D7" s="41"/>
      <c r="E7" s="41"/>
      <c r="F7" s="41"/>
      <c r="G7" s="41"/>
      <c r="H7" s="41"/>
      <c r="I7" s="41"/>
      <c r="J7" s="41"/>
      <c r="K7" s="41" t="str">
        <f t="shared" si="0"/>
        <v>未入力</v>
      </c>
      <c r="L7" s="41" t="str">
        <f t="shared" si="1"/>
        <v/>
      </c>
      <c r="M7" s="41" t="str" cm="1">
        <f t="array" aca="1" ref="M7" ca="1">IF(L7 = "","",IF(L7&gt;=INDEX(採点基準_観点別!$C$3:$C$1000,_xlfn.XMATCH(MID(CELL("filename",$A$1),FIND("]",CELL("filename",$A$1))+1,31)&amp;$F$1,採点基準_観点別!$F$3:$F$1000)),"A",IF(L7&gt;=INDEX(採点基準_観点別!$D$3:$D$1000,_xlfn.XMATCH(MID(CELL("filename",$A$1),FIND("]",CELL("filename",$A$1))+1,31)&amp;$F$1,採点基準_観点別!$F$3:$F$1000)),"B",IF(L7&lt;=INDEX(採点基準_観点別!$E$3:$E$1000,_xlfn.XMATCH(MID(CELL("filename",$A$1),FIND("]",CELL("filename",$A$1))+1,31)&amp;$F$1,採点基準_観点別!$F$3:$F$1000)),"C","採点基準が不正です"))))</f>
        <v/>
      </c>
      <c r="N7" s="41"/>
      <c r="O7" s="41"/>
      <c r="P7" s="41"/>
      <c r="Q7" s="41"/>
      <c r="R7" s="41"/>
      <c r="S7" s="41" t="str">
        <f t="shared" si="2"/>
        <v>未入力</v>
      </c>
      <c r="T7" s="41" t="str">
        <f t="shared" si="3"/>
        <v/>
      </c>
      <c r="U7" s="41" t="str" cm="1">
        <f t="array" aca="1" ref="U7" ca="1">IF(T7 = "","",IF(T7&gt;=INDEX(採点基準_観点別!$C$3:$C$1000,_xlfn.XMATCH(MID(CELL("filename",$A$1),FIND("]",CELL("filename",$A$1))+1,31)&amp;$F$1,採点基準_観点別!$F$3:$F$1000)),"A",IF(T7&gt;=INDEX(採点基準_観点別!$D$3:$D$1000,_xlfn.XMATCH(MID(CELL("filename",$A$1),FIND("]",CELL("filename",$A$1))+1,31)&amp;$F$1,採点基準_観点別!$F$3:$F$1000)),"B",IF(T7&lt;=INDEX(採点基準_観点別!$E$3:$E$1000,_xlfn.XMATCH(MID(CELL("filename",$A$1),FIND("]",CELL("filename",$A$1))+1,31)&amp;$F$1,採点基準_観点別!$F$3:$F$1000)),"C","採点基準が不正です"))))</f>
        <v/>
      </c>
      <c r="V7" s="41"/>
      <c r="W7" s="41" t="str">
        <f t="shared" si="4"/>
        <v>未入力</v>
      </c>
      <c r="X7" s="41" t="str">
        <f t="shared" si="5"/>
        <v/>
      </c>
      <c r="Y7" s="41" t="str" cm="1">
        <f t="array" aca="1" ref="Y7" ca="1">IF(X7 = "","",IF(X7&gt;=INDEX(採点基準_観点別!$C$3:$C$1000,_xlfn.XMATCH(MID(CELL("filename",$A$1),FIND("]",CELL("filename",$A$1))+1,31)&amp;$F$1,採点基準_観点別!$F$3:$F$1000)),"A",IF(X7&gt;=INDEX(採点基準_観点別!$D$3:$D$1000,_xlfn.XMATCH(MID(CELL("filename",$A$1),FIND("]",CELL("filename",$A$1))+1,31)&amp;$F$1,採点基準_観点別!$F$3:$F$1000)),"B",IF(X7&lt;=INDEX(採点基準_観点別!$E$3:$E$1000,_xlfn.XMATCH(MID(CELL("filename",$A$1),FIND("]",CELL("filename",$A$1))+1,31)&amp;$F$1,採点基準_観点別!$F$3:$F$1000)),"C","採点基準が不正です"))))</f>
        <v/>
      </c>
    </row>
    <row r="8" spans="1:25" x14ac:dyDescent="0.4">
      <c r="A8" s="54">
        <v>4</v>
      </c>
      <c r="B8" s="54" t="s">
        <v>52</v>
      </c>
      <c r="C8" s="31"/>
      <c r="D8" s="31"/>
      <c r="E8" s="31"/>
      <c r="F8" s="31"/>
      <c r="G8" s="31"/>
      <c r="H8" s="31"/>
      <c r="I8" s="31"/>
      <c r="J8" s="31"/>
      <c r="K8" s="31" t="str">
        <f t="shared" si="0"/>
        <v>未入力</v>
      </c>
      <c r="L8" s="31" t="str">
        <f t="shared" si="1"/>
        <v/>
      </c>
      <c r="M8" s="31" t="str" cm="1">
        <f t="array" aca="1" ref="M8" ca="1">IF(L8 = "","",IF(L8&gt;=INDEX(採点基準_観点別!$C$3:$C$1000,_xlfn.XMATCH(MID(CELL("filename",$A$1),FIND("]",CELL("filename",$A$1))+1,31)&amp;$F$1,採点基準_観点別!$F$3:$F$1000)),"A",IF(L8&gt;=INDEX(採点基準_観点別!$D$3:$D$1000,_xlfn.XMATCH(MID(CELL("filename",$A$1),FIND("]",CELL("filename",$A$1))+1,31)&amp;$F$1,採点基準_観点別!$F$3:$F$1000)),"B",IF(L8&lt;=INDEX(採点基準_観点別!$E$3:$E$1000,_xlfn.XMATCH(MID(CELL("filename",$A$1),FIND("]",CELL("filename",$A$1))+1,31)&amp;$F$1,採点基準_観点別!$F$3:$F$1000)),"C","採点基準が不正です"))))</f>
        <v/>
      </c>
      <c r="N8" s="31"/>
      <c r="O8" s="31"/>
      <c r="P8" s="31"/>
      <c r="Q8" s="31"/>
      <c r="R8" s="31"/>
      <c r="S8" s="31" t="str">
        <f t="shared" si="2"/>
        <v>未入力</v>
      </c>
      <c r="T8" s="31" t="str">
        <f t="shared" si="3"/>
        <v/>
      </c>
      <c r="U8" s="31" t="str" cm="1">
        <f t="array" aca="1" ref="U8" ca="1">IF(T8 = "","",IF(T8&gt;=INDEX(採点基準_観点別!$C$3:$C$1000,_xlfn.XMATCH(MID(CELL("filename",$A$1),FIND("]",CELL("filename",$A$1))+1,31)&amp;$F$1,採点基準_観点別!$F$3:$F$1000)),"A",IF(T8&gt;=INDEX(採点基準_観点別!$D$3:$D$1000,_xlfn.XMATCH(MID(CELL("filename",$A$1),FIND("]",CELL("filename",$A$1))+1,31)&amp;$F$1,採点基準_観点別!$F$3:$F$1000)),"B",IF(T8&lt;=INDEX(採点基準_観点別!$E$3:$E$1000,_xlfn.XMATCH(MID(CELL("filename",$A$1),FIND("]",CELL("filename",$A$1))+1,31)&amp;$F$1,採点基準_観点別!$F$3:$F$1000)),"C","採点基準が不正です"))))</f>
        <v/>
      </c>
      <c r="V8" s="31"/>
      <c r="W8" s="31" t="str">
        <f t="shared" si="4"/>
        <v>未入力</v>
      </c>
      <c r="X8" s="31" t="str">
        <f t="shared" si="5"/>
        <v/>
      </c>
      <c r="Y8" s="31" t="str" cm="1">
        <f t="array" aca="1" ref="Y8" ca="1">IF(X8 = "","",IF(X8&gt;=INDEX(採点基準_観点別!$C$3:$C$1000,_xlfn.XMATCH(MID(CELL("filename",$A$1),FIND("]",CELL("filename",$A$1))+1,31)&amp;$F$1,採点基準_観点別!$F$3:$F$1000)),"A",IF(X8&gt;=INDEX(採点基準_観点別!$D$3:$D$1000,_xlfn.XMATCH(MID(CELL("filename",$A$1),FIND("]",CELL("filename",$A$1))+1,31)&amp;$F$1,採点基準_観点別!$F$3:$F$1000)),"B",IF(X8&lt;=INDEX(採点基準_観点別!$E$3:$E$1000,_xlfn.XMATCH(MID(CELL("filename",$A$1),FIND("]",CELL("filename",$A$1))+1,31)&amp;$F$1,採点基準_観点別!$F$3:$F$1000)),"C","採点基準が不正です"))))</f>
        <v/>
      </c>
    </row>
    <row r="9" spans="1:25" x14ac:dyDescent="0.4">
      <c r="A9" s="41">
        <v>5</v>
      </c>
      <c r="B9" s="41" t="s">
        <v>51</v>
      </c>
      <c r="C9" s="41"/>
      <c r="D9" s="41"/>
      <c r="E9" s="41"/>
      <c r="F9" s="41"/>
      <c r="G9" s="41"/>
      <c r="H9" s="41"/>
      <c r="I9" s="41"/>
      <c r="J9" s="41"/>
      <c r="K9" s="41" t="str">
        <f t="shared" si="0"/>
        <v>未入力</v>
      </c>
      <c r="L9" s="41" t="str">
        <f t="shared" si="1"/>
        <v/>
      </c>
      <c r="M9" s="41" t="str" cm="1">
        <f t="array" aca="1" ref="M9" ca="1">IF(L9 = "","",IF(L9&gt;=INDEX(採点基準_観点別!$C$3:$C$1000,_xlfn.XMATCH(MID(CELL("filename",$A$1),FIND("]",CELL("filename",$A$1))+1,31)&amp;$F$1,採点基準_観点別!$F$3:$F$1000)),"A",IF(L9&gt;=INDEX(採点基準_観点別!$D$3:$D$1000,_xlfn.XMATCH(MID(CELL("filename",$A$1),FIND("]",CELL("filename",$A$1))+1,31)&amp;$F$1,採点基準_観点別!$F$3:$F$1000)),"B",IF(L9&lt;=INDEX(採点基準_観点別!$E$3:$E$1000,_xlfn.XMATCH(MID(CELL("filename",$A$1),FIND("]",CELL("filename",$A$1))+1,31)&amp;$F$1,採点基準_観点別!$F$3:$F$1000)),"C","採点基準が不正です"))))</f>
        <v/>
      </c>
      <c r="N9" s="41"/>
      <c r="O9" s="41"/>
      <c r="P9" s="41"/>
      <c r="Q9" s="41"/>
      <c r="R9" s="41"/>
      <c r="S9" s="41" t="str">
        <f t="shared" si="2"/>
        <v>未入力</v>
      </c>
      <c r="T9" s="41" t="str">
        <f t="shared" si="3"/>
        <v/>
      </c>
      <c r="U9" s="41" t="str" cm="1">
        <f t="array" aca="1" ref="U9" ca="1">IF(T9 = "","",IF(T9&gt;=INDEX(採点基準_観点別!$C$3:$C$1000,_xlfn.XMATCH(MID(CELL("filename",$A$1),FIND("]",CELL("filename",$A$1))+1,31)&amp;$F$1,採点基準_観点別!$F$3:$F$1000)),"A",IF(T9&gt;=INDEX(採点基準_観点別!$D$3:$D$1000,_xlfn.XMATCH(MID(CELL("filename",$A$1),FIND("]",CELL("filename",$A$1))+1,31)&amp;$F$1,採点基準_観点別!$F$3:$F$1000)),"B",IF(T9&lt;=INDEX(採点基準_観点別!$E$3:$E$1000,_xlfn.XMATCH(MID(CELL("filename",$A$1),FIND("]",CELL("filename",$A$1))+1,31)&amp;$F$1,採点基準_観点別!$F$3:$F$1000)),"C","採点基準が不正です"))))</f>
        <v/>
      </c>
      <c r="V9" s="41"/>
      <c r="W9" s="41" t="str">
        <f t="shared" si="4"/>
        <v>未入力</v>
      </c>
      <c r="X9" s="41" t="str">
        <f t="shared" si="5"/>
        <v/>
      </c>
      <c r="Y9" s="41" t="str" cm="1">
        <f t="array" aca="1" ref="Y9" ca="1">IF(X9 = "","",IF(X9&gt;=INDEX(採点基準_観点別!$C$3:$C$1000,_xlfn.XMATCH(MID(CELL("filename",$A$1),FIND("]",CELL("filename",$A$1))+1,31)&amp;$F$1,採点基準_観点別!$F$3:$F$1000)),"A",IF(X9&gt;=INDEX(採点基準_観点別!$D$3:$D$1000,_xlfn.XMATCH(MID(CELL("filename",$A$1),FIND("]",CELL("filename",$A$1))+1,31)&amp;$F$1,採点基準_観点別!$F$3:$F$1000)),"B",IF(X9&lt;=INDEX(採点基準_観点別!$E$3:$E$1000,_xlfn.XMATCH(MID(CELL("filename",$A$1),FIND("]",CELL("filename",$A$1))+1,31)&amp;$F$1,採点基準_観点別!$F$3:$F$1000)),"C","採点基準が不正です"))))</f>
        <v/>
      </c>
    </row>
    <row r="10" spans="1:25" x14ac:dyDescent="0.4">
      <c r="A10" s="54">
        <v>6</v>
      </c>
      <c r="B10" s="54" t="s">
        <v>52</v>
      </c>
      <c r="C10" s="31"/>
      <c r="D10" s="31"/>
      <c r="E10" s="31"/>
      <c r="F10" s="31"/>
      <c r="G10" s="31"/>
      <c r="H10" s="31"/>
      <c r="I10" s="31"/>
      <c r="J10" s="31"/>
      <c r="K10" s="31" t="str">
        <f t="shared" si="0"/>
        <v>未入力</v>
      </c>
      <c r="L10" s="31" t="str">
        <f t="shared" si="1"/>
        <v/>
      </c>
      <c r="M10" s="31" t="str" cm="1">
        <f t="array" aca="1" ref="M10" ca="1">IF(L10 = "","",IF(L10&gt;=INDEX(採点基準_観点別!$C$3:$C$1000,_xlfn.XMATCH(MID(CELL("filename",$A$1),FIND("]",CELL("filename",$A$1))+1,31)&amp;$F$1,採点基準_観点別!$F$3:$F$1000)),"A",IF(L10&gt;=INDEX(採点基準_観点別!$D$3:$D$1000,_xlfn.XMATCH(MID(CELL("filename",$A$1),FIND("]",CELL("filename",$A$1))+1,31)&amp;$F$1,採点基準_観点別!$F$3:$F$1000)),"B",IF(L10&lt;=INDEX(採点基準_観点別!$E$3:$E$1000,_xlfn.XMATCH(MID(CELL("filename",$A$1),FIND("]",CELL("filename",$A$1))+1,31)&amp;$F$1,採点基準_観点別!$F$3:$F$1000)),"C","採点基準が不正です"))))</f>
        <v/>
      </c>
      <c r="N10" s="31"/>
      <c r="O10" s="31"/>
      <c r="P10" s="31"/>
      <c r="Q10" s="31"/>
      <c r="R10" s="31"/>
      <c r="S10" s="31" t="str">
        <f t="shared" si="2"/>
        <v>未入力</v>
      </c>
      <c r="T10" s="31" t="str">
        <f t="shared" si="3"/>
        <v/>
      </c>
      <c r="U10" s="31" t="str" cm="1">
        <f t="array" aca="1" ref="U10" ca="1">IF(T10 = "","",IF(T10&gt;=INDEX(採点基準_観点別!$C$3:$C$1000,_xlfn.XMATCH(MID(CELL("filename",$A$1),FIND("]",CELL("filename",$A$1))+1,31)&amp;$F$1,採点基準_観点別!$F$3:$F$1000)),"A",IF(T10&gt;=INDEX(採点基準_観点別!$D$3:$D$1000,_xlfn.XMATCH(MID(CELL("filename",$A$1),FIND("]",CELL("filename",$A$1))+1,31)&amp;$F$1,採点基準_観点別!$F$3:$F$1000)),"B",IF(T10&lt;=INDEX(採点基準_観点別!$E$3:$E$1000,_xlfn.XMATCH(MID(CELL("filename",$A$1),FIND("]",CELL("filename",$A$1))+1,31)&amp;$F$1,採点基準_観点別!$F$3:$F$1000)),"C","採点基準が不正です"))))</f>
        <v/>
      </c>
      <c r="V10" s="31"/>
      <c r="W10" s="31" t="str">
        <f t="shared" si="4"/>
        <v>未入力</v>
      </c>
      <c r="X10" s="31" t="str">
        <f t="shared" si="5"/>
        <v/>
      </c>
      <c r="Y10" s="31" t="str" cm="1">
        <f t="array" aca="1" ref="Y10" ca="1">IF(X10 = "","",IF(X10&gt;=INDEX(採点基準_観点別!$C$3:$C$1000,_xlfn.XMATCH(MID(CELL("filename",$A$1),FIND("]",CELL("filename",$A$1))+1,31)&amp;$F$1,採点基準_観点別!$F$3:$F$1000)),"A",IF(X10&gt;=INDEX(採点基準_観点別!$D$3:$D$1000,_xlfn.XMATCH(MID(CELL("filename",$A$1),FIND("]",CELL("filename",$A$1))+1,31)&amp;$F$1,採点基準_観点別!$F$3:$F$1000)),"B",IF(X10&lt;=INDEX(採点基準_観点別!$E$3:$E$1000,_xlfn.XMATCH(MID(CELL("filename",$A$1),FIND("]",CELL("filename",$A$1))+1,31)&amp;$F$1,採点基準_観点別!$F$3:$F$1000)),"C","採点基準が不正です"))))</f>
        <v/>
      </c>
    </row>
    <row r="11" spans="1:25" x14ac:dyDescent="0.4">
      <c r="A11" s="41">
        <v>7</v>
      </c>
      <c r="B11" s="41" t="s">
        <v>52</v>
      </c>
      <c r="C11" s="41"/>
      <c r="D11" s="41"/>
      <c r="E11" s="41"/>
      <c r="F11" s="41"/>
      <c r="G11" s="41"/>
      <c r="H11" s="41"/>
      <c r="I11" s="41"/>
      <c r="J11" s="41"/>
      <c r="K11" s="41" t="str">
        <f t="shared" si="0"/>
        <v>未入力</v>
      </c>
      <c r="L11" s="41" t="str">
        <f t="shared" si="1"/>
        <v/>
      </c>
      <c r="M11" s="41" t="str" cm="1">
        <f t="array" aca="1" ref="M11" ca="1">IF(L11 = "","",IF(L11&gt;=INDEX(採点基準_観点別!$C$3:$C$1000,_xlfn.XMATCH(MID(CELL("filename",$A$1),FIND("]",CELL("filename",$A$1))+1,31)&amp;$F$1,採点基準_観点別!$F$3:$F$1000)),"A",IF(L11&gt;=INDEX(採点基準_観点別!$D$3:$D$1000,_xlfn.XMATCH(MID(CELL("filename",$A$1),FIND("]",CELL("filename",$A$1))+1,31)&amp;$F$1,採点基準_観点別!$F$3:$F$1000)),"B",IF(L11&lt;=INDEX(採点基準_観点別!$E$3:$E$1000,_xlfn.XMATCH(MID(CELL("filename",$A$1),FIND("]",CELL("filename",$A$1))+1,31)&amp;$F$1,採点基準_観点別!$F$3:$F$1000)),"C","採点基準が不正です"))))</f>
        <v/>
      </c>
      <c r="N11" s="41"/>
      <c r="O11" s="41"/>
      <c r="P11" s="41"/>
      <c r="Q11" s="41"/>
      <c r="R11" s="41"/>
      <c r="S11" s="41" t="str">
        <f t="shared" si="2"/>
        <v>未入力</v>
      </c>
      <c r="T11" s="41" t="str">
        <f t="shared" si="3"/>
        <v/>
      </c>
      <c r="U11" s="41" t="str" cm="1">
        <f t="array" aca="1" ref="U11" ca="1">IF(T11 = "","",IF(T11&gt;=INDEX(採点基準_観点別!$C$3:$C$1000,_xlfn.XMATCH(MID(CELL("filename",$A$1),FIND("]",CELL("filename",$A$1))+1,31)&amp;$F$1,採点基準_観点別!$F$3:$F$1000)),"A",IF(T11&gt;=INDEX(採点基準_観点別!$D$3:$D$1000,_xlfn.XMATCH(MID(CELL("filename",$A$1),FIND("]",CELL("filename",$A$1))+1,31)&amp;$F$1,採点基準_観点別!$F$3:$F$1000)),"B",IF(T11&lt;=INDEX(採点基準_観点別!$E$3:$E$1000,_xlfn.XMATCH(MID(CELL("filename",$A$1),FIND("]",CELL("filename",$A$1))+1,31)&amp;$F$1,採点基準_観点別!$F$3:$F$1000)),"C","採点基準が不正です"))))</f>
        <v/>
      </c>
      <c r="V11" s="41"/>
      <c r="W11" s="41" t="str">
        <f t="shared" si="4"/>
        <v>未入力</v>
      </c>
      <c r="X11" s="41" t="str">
        <f t="shared" si="5"/>
        <v/>
      </c>
      <c r="Y11" s="41" t="str" cm="1">
        <f t="array" aca="1" ref="Y11" ca="1">IF(X11 = "","",IF(X11&gt;=INDEX(採点基準_観点別!$C$3:$C$1000,_xlfn.XMATCH(MID(CELL("filename",$A$1),FIND("]",CELL("filename",$A$1))+1,31)&amp;$F$1,採点基準_観点別!$F$3:$F$1000)),"A",IF(X11&gt;=INDEX(採点基準_観点別!$D$3:$D$1000,_xlfn.XMATCH(MID(CELL("filename",$A$1),FIND("]",CELL("filename",$A$1))+1,31)&amp;$F$1,採点基準_観点別!$F$3:$F$1000)),"B",IF(X11&lt;=INDEX(採点基準_観点別!$E$3:$E$1000,_xlfn.XMATCH(MID(CELL("filename",$A$1),FIND("]",CELL("filename",$A$1))+1,31)&amp;$F$1,採点基準_観点別!$F$3:$F$1000)),"C","採点基準が不正です"))))</f>
        <v/>
      </c>
    </row>
    <row r="12" spans="1:25" x14ac:dyDescent="0.4">
      <c r="A12" s="54">
        <v>8</v>
      </c>
      <c r="B12" s="54" t="s">
        <v>51</v>
      </c>
      <c r="C12" s="31"/>
      <c r="D12" s="31"/>
      <c r="E12" s="31"/>
      <c r="F12" s="31"/>
      <c r="G12" s="31"/>
      <c r="H12" s="31"/>
      <c r="I12" s="31"/>
      <c r="J12" s="31"/>
      <c r="K12" s="31" t="str">
        <f t="shared" si="0"/>
        <v>未入力</v>
      </c>
      <c r="L12" s="31" t="str">
        <f t="shared" si="1"/>
        <v/>
      </c>
      <c r="M12" s="31" t="str" cm="1">
        <f t="array" aca="1" ref="M12" ca="1">IF(L12 = "","",IF(L12&gt;=INDEX(採点基準_観点別!$C$3:$C$1000,_xlfn.XMATCH(MID(CELL("filename",$A$1),FIND("]",CELL("filename",$A$1))+1,31)&amp;$F$1,採点基準_観点別!$F$3:$F$1000)),"A",IF(L12&gt;=INDEX(採点基準_観点別!$D$3:$D$1000,_xlfn.XMATCH(MID(CELL("filename",$A$1),FIND("]",CELL("filename",$A$1))+1,31)&amp;$F$1,採点基準_観点別!$F$3:$F$1000)),"B",IF(L12&lt;=INDEX(採点基準_観点別!$E$3:$E$1000,_xlfn.XMATCH(MID(CELL("filename",$A$1),FIND("]",CELL("filename",$A$1))+1,31)&amp;$F$1,採点基準_観点別!$F$3:$F$1000)),"C","採点基準が不正です"))))</f>
        <v/>
      </c>
      <c r="N12" s="31"/>
      <c r="O12" s="31"/>
      <c r="P12" s="31"/>
      <c r="Q12" s="31"/>
      <c r="R12" s="31"/>
      <c r="S12" s="31" t="str">
        <f t="shared" si="2"/>
        <v>未入力</v>
      </c>
      <c r="T12" s="31" t="str">
        <f t="shared" si="3"/>
        <v/>
      </c>
      <c r="U12" s="31" t="str" cm="1">
        <f t="array" aca="1" ref="U12" ca="1">IF(T12 = "","",IF(T12&gt;=INDEX(採点基準_観点別!$C$3:$C$1000,_xlfn.XMATCH(MID(CELL("filename",$A$1),FIND("]",CELL("filename",$A$1))+1,31)&amp;$F$1,採点基準_観点別!$F$3:$F$1000)),"A",IF(T12&gt;=INDEX(採点基準_観点別!$D$3:$D$1000,_xlfn.XMATCH(MID(CELL("filename",$A$1),FIND("]",CELL("filename",$A$1))+1,31)&amp;$F$1,採点基準_観点別!$F$3:$F$1000)),"B",IF(T12&lt;=INDEX(採点基準_観点別!$E$3:$E$1000,_xlfn.XMATCH(MID(CELL("filename",$A$1),FIND("]",CELL("filename",$A$1))+1,31)&amp;$F$1,採点基準_観点別!$F$3:$F$1000)),"C","採点基準が不正です"))))</f>
        <v/>
      </c>
      <c r="V12" s="31"/>
      <c r="W12" s="31" t="str">
        <f t="shared" si="4"/>
        <v>未入力</v>
      </c>
      <c r="X12" s="31" t="str">
        <f t="shared" si="5"/>
        <v/>
      </c>
      <c r="Y12" s="31" t="str" cm="1">
        <f t="array" aca="1" ref="Y12" ca="1">IF(X12 = "","",IF(X12&gt;=INDEX(採点基準_観点別!$C$3:$C$1000,_xlfn.XMATCH(MID(CELL("filename",$A$1),FIND("]",CELL("filename",$A$1))+1,31)&amp;$F$1,採点基準_観点別!$F$3:$F$1000)),"A",IF(X12&gt;=INDEX(採点基準_観点別!$D$3:$D$1000,_xlfn.XMATCH(MID(CELL("filename",$A$1),FIND("]",CELL("filename",$A$1))+1,31)&amp;$F$1,採点基準_観点別!$F$3:$F$1000)),"B",IF(X12&lt;=INDEX(採点基準_観点別!$E$3:$E$1000,_xlfn.XMATCH(MID(CELL("filename",$A$1),FIND("]",CELL("filename",$A$1))+1,31)&amp;$F$1,採点基準_観点別!$F$3:$F$1000)),"C","採点基準が不正です"))))</f>
        <v/>
      </c>
    </row>
    <row r="13" spans="1:25" x14ac:dyDescent="0.4">
      <c r="A13" s="41">
        <v>9</v>
      </c>
      <c r="B13" s="41" t="s">
        <v>52</v>
      </c>
      <c r="C13" s="41"/>
      <c r="D13" s="41"/>
      <c r="E13" s="41"/>
      <c r="F13" s="41"/>
      <c r="G13" s="41"/>
      <c r="H13" s="41"/>
      <c r="I13" s="41"/>
      <c r="J13" s="41"/>
      <c r="K13" s="41" t="str">
        <f t="shared" si="0"/>
        <v>未入力</v>
      </c>
      <c r="L13" s="41" t="str">
        <f t="shared" si="1"/>
        <v/>
      </c>
      <c r="M13" s="41" t="str" cm="1">
        <f t="array" aca="1" ref="M13" ca="1">IF(L13 = "","",IF(L13&gt;=INDEX(採点基準_観点別!$C$3:$C$1000,_xlfn.XMATCH(MID(CELL("filename",$A$1),FIND("]",CELL("filename",$A$1))+1,31)&amp;$F$1,採点基準_観点別!$F$3:$F$1000)),"A",IF(L13&gt;=INDEX(採点基準_観点別!$D$3:$D$1000,_xlfn.XMATCH(MID(CELL("filename",$A$1),FIND("]",CELL("filename",$A$1))+1,31)&amp;$F$1,採点基準_観点別!$F$3:$F$1000)),"B",IF(L13&lt;=INDEX(採点基準_観点別!$E$3:$E$1000,_xlfn.XMATCH(MID(CELL("filename",$A$1),FIND("]",CELL("filename",$A$1))+1,31)&amp;$F$1,採点基準_観点別!$F$3:$F$1000)),"C","採点基準が不正です"))))</f>
        <v/>
      </c>
      <c r="N13" s="41"/>
      <c r="O13" s="41"/>
      <c r="P13" s="41"/>
      <c r="Q13" s="41"/>
      <c r="R13" s="41"/>
      <c r="S13" s="41" t="str">
        <f t="shared" si="2"/>
        <v>未入力</v>
      </c>
      <c r="T13" s="41" t="str">
        <f t="shared" si="3"/>
        <v/>
      </c>
      <c r="U13" s="41" t="str" cm="1">
        <f t="array" aca="1" ref="U13" ca="1">IF(T13 = "","",IF(T13&gt;=INDEX(採点基準_観点別!$C$3:$C$1000,_xlfn.XMATCH(MID(CELL("filename",$A$1),FIND("]",CELL("filename",$A$1))+1,31)&amp;$F$1,採点基準_観点別!$F$3:$F$1000)),"A",IF(T13&gt;=INDEX(採点基準_観点別!$D$3:$D$1000,_xlfn.XMATCH(MID(CELL("filename",$A$1),FIND("]",CELL("filename",$A$1))+1,31)&amp;$F$1,採点基準_観点別!$F$3:$F$1000)),"B",IF(T13&lt;=INDEX(採点基準_観点別!$E$3:$E$1000,_xlfn.XMATCH(MID(CELL("filename",$A$1),FIND("]",CELL("filename",$A$1))+1,31)&amp;$F$1,採点基準_観点別!$F$3:$F$1000)),"C","採点基準が不正です"))))</f>
        <v/>
      </c>
      <c r="V13" s="41"/>
      <c r="W13" s="41" t="str">
        <f t="shared" si="4"/>
        <v>未入力</v>
      </c>
      <c r="X13" s="41" t="str">
        <f t="shared" si="5"/>
        <v/>
      </c>
      <c r="Y13" s="41" t="str" cm="1">
        <f t="array" aca="1" ref="Y13" ca="1">IF(X13 = "","",IF(X13&gt;=INDEX(採点基準_観点別!$C$3:$C$1000,_xlfn.XMATCH(MID(CELL("filename",$A$1),FIND("]",CELL("filename",$A$1))+1,31)&amp;$F$1,採点基準_観点別!$F$3:$F$1000)),"A",IF(X13&gt;=INDEX(採点基準_観点別!$D$3:$D$1000,_xlfn.XMATCH(MID(CELL("filename",$A$1),FIND("]",CELL("filename",$A$1))+1,31)&amp;$F$1,採点基準_観点別!$F$3:$F$1000)),"B",IF(X13&lt;=INDEX(採点基準_観点別!$E$3:$E$1000,_xlfn.XMATCH(MID(CELL("filename",$A$1),FIND("]",CELL("filename",$A$1))+1,31)&amp;$F$1,採点基準_観点別!$F$3:$F$1000)),"C","採点基準が不正です"))))</f>
        <v/>
      </c>
    </row>
    <row r="14" spans="1:25" x14ac:dyDescent="0.4">
      <c r="A14" s="54">
        <v>10</v>
      </c>
      <c r="B14" s="54" t="s">
        <v>52</v>
      </c>
      <c r="C14" s="31"/>
      <c r="D14" s="31"/>
      <c r="E14" s="31"/>
      <c r="F14" s="31"/>
      <c r="G14" s="31"/>
      <c r="H14" s="31"/>
      <c r="I14" s="31"/>
      <c r="J14" s="31"/>
      <c r="K14" s="31" t="str">
        <f t="shared" si="0"/>
        <v>未入力</v>
      </c>
      <c r="L14" s="31" t="str">
        <f t="shared" si="1"/>
        <v/>
      </c>
      <c r="M14" s="31" t="str" cm="1">
        <f t="array" aca="1" ref="M14" ca="1">IF(L14 = "","",IF(L14&gt;=INDEX(採点基準_観点別!$C$3:$C$1000,_xlfn.XMATCH(MID(CELL("filename",$A$1),FIND("]",CELL("filename",$A$1))+1,31)&amp;$F$1,採点基準_観点別!$F$3:$F$1000)),"A",IF(L14&gt;=INDEX(採点基準_観点別!$D$3:$D$1000,_xlfn.XMATCH(MID(CELL("filename",$A$1),FIND("]",CELL("filename",$A$1))+1,31)&amp;$F$1,採点基準_観点別!$F$3:$F$1000)),"B",IF(L14&lt;=INDEX(採点基準_観点別!$E$3:$E$1000,_xlfn.XMATCH(MID(CELL("filename",$A$1),FIND("]",CELL("filename",$A$1))+1,31)&amp;$F$1,採点基準_観点別!$F$3:$F$1000)),"C","採点基準が不正です"))))</f>
        <v/>
      </c>
      <c r="N14" s="31"/>
      <c r="O14" s="31"/>
      <c r="P14" s="31"/>
      <c r="Q14" s="31"/>
      <c r="R14" s="31"/>
      <c r="S14" s="31" t="str">
        <f t="shared" si="2"/>
        <v>未入力</v>
      </c>
      <c r="T14" s="31" t="str">
        <f t="shared" si="3"/>
        <v/>
      </c>
      <c r="U14" s="31" t="str" cm="1">
        <f t="array" aca="1" ref="U14" ca="1">IF(T14 = "","",IF(T14&gt;=INDEX(採点基準_観点別!$C$3:$C$1000,_xlfn.XMATCH(MID(CELL("filename",$A$1),FIND("]",CELL("filename",$A$1))+1,31)&amp;$F$1,採点基準_観点別!$F$3:$F$1000)),"A",IF(T14&gt;=INDEX(採点基準_観点別!$D$3:$D$1000,_xlfn.XMATCH(MID(CELL("filename",$A$1),FIND("]",CELL("filename",$A$1))+1,31)&amp;$F$1,採点基準_観点別!$F$3:$F$1000)),"B",IF(T14&lt;=INDEX(採点基準_観点別!$E$3:$E$1000,_xlfn.XMATCH(MID(CELL("filename",$A$1),FIND("]",CELL("filename",$A$1))+1,31)&amp;$F$1,採点基準_観点別!$F$3:$F$1000)),"C","採点基準が不正です"))))</f>
        <v/>
      </c>
      <c r="V14" s="31"/>
      <c r="W14" s="31" t="str">
        <f t="shared" si="4"/>
        <v>未入力</v>
      </c>
      <c r="X14" s="31" t="str">
        <f t="shared" si="5"/>
        <v/>
      </c>
      <c r="Y14" s="31" t="str" cm="1">
        <f t="array" aca="1" ref="Y14" ca="1">IF(X14 = "","",IF(X14&gt;=INDEX(採点基準_観点別!$C$3:$C$1000,_xlfn.XMATCH(MID(CELL("filename",$A$1),FIND("]",CELL("filename",$A$1))+1,31)&amp;$F$1,採点基準_観点別!$F$3:$F$1000)),"A",IF(X14&gt;=INDEX(採点基準_観点別!$D$3:$D$1000,_xlfn.XMATCH(MID(CELL("filename",$A$1),FIND("]",CELL("filename",$A$1))+1,31)&amp;$F$1,採点基準_観点別!$F$3:$F$1000)),"B",IF(X14&lt;=INDEX(採点基準_観点別!$E$3:$E$1000,_xlfn.XMATCH(MID(CELL("filename",$A$1),FIND("]",CELL("filename",$A$1))+1,31)&amp;$F$1,採点基準_観点別!$F$3:$F$1000)),"C","採点基準が不正です"))))</f>
        <v/>
      </c>
    </row>
    <row r="15" spans="1:25" x14ac:dyDescent="0.4">
      <c r="A15" s="41">
        <v>11</v>
      </c>
      <c r="B15" s="41" t="s">
        <v>52</v>
      </c>
      <c r="C15" s="41"/>
      <c r="D15" s="41"/>
      <c r="E15" s="41"/>
      <c r="F15" s="41"/>
      <c r="G15" s="41"/>
      <c r="H15" s="41"/>
      <c r="I15" s="41"/>
      <c r="J15" s="41"/>
      <c r="K15" s="41" t="str">
        <f t="shared" si="0"/>
        <v>未入力</v>
      </c>
      <c r="L15" s="41" t="str">
        <f t="shared" si="1"/>
        <v/>
      </c>
      <c r="M15" s="41" t="str" cm="1">
        <f t="array" aca="1" ref="M15" ca="1">IF(L15 = "","",IF(L15&gt;=INDEX(採点基準_観点別!$C$3:$C$1000,_xlfn.XMATCH(MID(CELL("filename",$A$1),FIND("]",CELL("filename",$A$1))+1,31)&amp;$F$1,採点基準_観点別!$F$3:$F$1000)),"A",IF(L15&gt;=INDEX(採点基準_観点別!$D$3:$D$1000,_xlfn.XMATCH(MID(CELL("filename",$A$1),FIND("]",CELL("filename",$A$1))+1,31)&amp;$F$1,採点基準_観点別!$F$3:$F$1000)),"B",IF(L15&lt;=INDEX(採点基準_観点別!$E$3:$E$1000,_xlfn.XMATCH(MID(CELL("filename",$A$1),FIND("]",CELL("filename",$A$1))+1,31)&amp;$F$1,採点基準_観点別!$F$3:$F$1000)),"C","採点基準が不正です"))))</f>
        <v/>
      </c>
      <c r="N15" s="41"/>
      <c r="O15" s="41"/>
      <c r="P15" s="41"/>
      <c r="Q15" s="41"/>
      <c r="R15" s="41"/>
      <c r="S15" s="41" t="str">
        <f t="shared" si="2"/>
        <v>未入力</v>
      </c>
      <c r="T15" s="41" t="str">
        <f t="shared" si="3"/>
        <v/>
      </c>
      <c r="U15" s="41" t="str" cm="1">
        <f t="array" aca="1" ref="U15" ca="1">IF(T15 = "","",IF(T15&gt;=INDEX(採点基準_観点別!$C$3:$C$1000,_xlfn.XMATCH(MID(CELL("filename",$A$1),FIND("]",CELL("filename",$A$1))+1,31)&amp;$F$1,採点基準_観点別!$F$3:$F$1000)),"A",IF(T15&gt;=INDEX(採点基準_観点別!$D$3:$D$1000,_xlfn.XMATCH(MID(CELL("filename",$A$1),FIND("]",CELL("filename",$A$1))+1,31)&amp;$F$1,採点基準_観点別!$F$3:$F$1000)),"B",IF(T15&lt;=INDEX(採点基準_観点別!$E$3:$E$1000,_xlfn.XMATCH(MID(CELL("filename",$A$1),FIND("]",CELL("filename",$A$1))+1,31)&amp;$F$1,採点基準_観点別!$F$3:$F$1000)),"C","採点基準が不正です"))))</f>
        <v/>
      </c>
      <c r="V15" s="41"/>
      <c r="W15" s="41" t="str">
        <f t="shared" si="4"/>
        <v>未入力</v>
      </c>
      <c r="X15" s="41" t="str">
        <f t="shared" si="5"/>
        <v/>
      </c>
      <c r="Y15" s="41" t="str" cm="1">
        <f t="array" aca="1" ref="Y15" ca="1">IF(X15 = "","",IF(X15&gt;=INDEX(採点基準_観点別!$C$3:$C$1000,_xlfn.XMATCH(MID(CELL("filename",$A$1),FIND("]",CELL("filename",$A$1))+1,31)&amp;$F$1,採点基準_観点別!$F$3:$F$1000)),"A",IF(X15&gt;=INDEX(採点基準_観点別!$D$3:$D$1000,_xlfn.XMATCH(MID(CELL("filename",$A$1),FIND("]",CELL("filename",$A$1))+1,31)&amp;$F$1,採点基準_観点別!$F$3:$F$1000)),"B",IF(X15&lt;=INDEX(採点基準_観点別!$E$3:$E$1000,_xlfn.XMATCH(MID(CELL("filename",$A$1),FIND("]",CELL("filename",$A$1))+1,31)&amp;$F$1,採点基準_観点別!$F$3:$F$1000)),"C","採点基準が不正です"))))</f>
        <v/>
      </c>
    </row>
    <row r="16" spans="1:25" x14ac:dyDescent="0.4">
      <c r="A16" s="54">
        <v>12</v>
      </c>
      <c r="B16" s="54" t="s">
        <v>52</v>
      </c>
      <c r="C16" s="31"/>
      <c r="D16" s="31"/>
      <c r="E16" s="31"/>
      <c r="F16" s="31"/>
      <c r="G16" s="31"/>
      <c r="H16" s="31"/>
      <c r="I16" s="31"/>
      <c r="J16" s="31"/>
      <c r="K16" s="31" t="str">
        <f t="shared" si="0"/>
        <v>未入力</v>
      </c>
      <c r="L16" s="31" t="str">
        <f t="shared" si="1"/>
        <v/>
      </c>
      <c r="M16" s="31" t="str" cm="1">
        <f t="array" aca="1" ref="M16" ca="1">IF(L16 = "","",IF(L16&gt;=INDEX(採点基準_観点別!$C$3:$C$1000,_xlfn.XMATCH(MID(CELL("filename",$A$1),FIND("]",CELL("filename",$A$1))+1,31)&amp;$F$1,採点基準_観点別!$F$3:$F$1000)),"A",IF(L16&gt;=INDEX(採点基準_観点別!$D$3:$D$1000,_xlfn.XMATCH(MID(CELL("filename",$A$1),FIND("]",CELL("filename",$A$1))+1,31)&amp;$F$1,採点基準_観点別!$F$3:$F$1000)),"B",IF(L16&lt;=INDEX(採点基準_観点別!$E$3:$E$1000,_xlfn.XMATCH(MID(CELL("filename",$A$1),FIND("]",CELL("filename",$A$1))+1,31)&amp;$F$1,採点基準_観点別!$F$3:$F$1000)),"C","採点基準が不正です"))))</f>
        <v/>
      </c>
      <c r="N16" s="31"/>
      <c r="O16" s="31"/>
      <c r="P16" s="31"/>
      <c r="Q16" s="31"/>
      <c r="R16" s="31"/>
      <c r="S16" s="31" t="str">
        <f t="shared" si="2"/>
        <v>未入力</v>
      </c>
      <c r="T16" s="31" t="str">
        <f t="shared" si="3"/>
        <v/>
      </c>
      <c r="U16" s="31" t="str" cm="1">
        <f t="array" aca="1" ref="U16" ca="1">IF(T16 = "","",IF(T16&gt;=INDEX(採点基準_観点別!$C$3:$C$1000,_xlfn.XMATCH(MID(CELL("filename",$A$1),FIND("]",CELL("filename",$A$1))+1,31)&amp;$F$1,採点基準_観点別!$F$3:$F$1000)),"A",IF(T16&gt;=INDEX(採点基準_観点別!$D$3:$D$1000,_xlfn.XMATCH(MID(CELL("filename",$A$1),FIND("]",CELL("filename",$A$1))+1,31)&amp;$F$1,採点基準_観点別!$F$3:$F$1000)),"B",IF(T16&lt;=INDEX(採点基準_観点別!$E$3:$E$1000,_xlfn.XMATCH(MID(CELL("filename",$A$1),FIND("]",CELL("filename",$A$1))+1,31)&amp;$F$1,採点基準_観点別!$F$3:$F$1000)),"C","採点基準が不正です"))))</f>
        <v/>
      </c>
      <c r="V16" s="31"/>
      <c r="W16" s="31" t="str">
        <f t="shared" si="4"/>
        <v>未入力</v>
      </c>
      <c r="X16" s="31" t="str">
        <f t="shared" si="5"/>
        <v/>
      </c>
      <c r="Y16" s="31" t="str" cm="1">
        <f t="array" aca="1" ref="Y16" ca="1">IF(X16 = "","",IF(X16&gt;=INDEX(採点基準_観点別!$C$3:$C$1000,_xlfn.XMATCH(MID(CELL("filename",$A$1),FIND("]",CELL("filename",$A$1))+1,31)&amp;$F$1,採点基準_観点別!$F$3:$F$1000)),"A",IF(X16&gt;=INDEX(採点基準_観点別!$D$3:$D$1000,_xlfn.XMATCH(MID(CELL("filename",$A$1),FIND("]",CELL("filename",$A$1))+1,31)&amp;$F$1,採点基準_観点別!$F$3:$F$1000)),"B",IF(X16&lt;=INDEX(採点基準_観点別!$E$3:$E$1000,_xlfn.XMATCH(MID(CELL("filename",$A$1),FIND("]",CELL("filename",$A$1))+1,31)&amp;$F$1,採点基準_観点別!$F$3:$F$1000)),"C","採点基準が不正です"))))</f>
        <v/>
      </c>
    </row>
    <row r="17" spans="1:25" x14ac:dyDescent="0.4">
      <c r="A17" s="41">
        <v>13</v>
      </c>
      <c r="B17" s="41" t="s">
        <v>51</v>
      </c>
      <c r="C17" s="41"/>
      <c r="D17" s="41"/>
      <c r="E17" s="41"/>
      <c r="F17" s="41"/>
      <c r="G17" s="41"/>
      <c r="H17" s="41"/>
      <c r="I17" s="41"/>
      <c r="J17" s="41"/>
      <c r="K17" s="41" t="str">
        <f t="shared" si="0"/>
        <v>未入力</v>
      </c>
      <c r="L17" s="41" t="str">
        <f t="shared" si="1"/>
        <v/>
      </c>
      <c r="M17" s="41" t="str" cm="1">
        <f t="array" aca="1" ref="M17" ca="1">IF(L17 = "","",IF(L17&gt;=INDEX(採点基準_観点別!$C$3:$C$1000,_xlfn.XMATCH(MID(CELL("filename",$A$1),FIND("]",CELL("filename",$A$1))+1,31)&amp;$F$1,採点基準_観点別!$F$3:$F$1000)),"A",IF(L17&gt;=INDEX(採点基準_観点別!$D$3:$D$1000,_xlfn.XMATCH(MID(CELL("filename",$A$1),FIND("]",CELL("filename",$A$1))+1,31)&amp;$F$1,採点基準_観点別!$F$3:$F$1000)),"B",IF(L17&lt;=INDEX(採点基準_観点別!$E$3:$E$1000,_xlfn.XMATCH(MID(CELL("filename",$A$1),FIND("]",CELL("filename",$A$1))+1,31)&amp;$F$1,採点基準_観点別!$F$3:$F$1000)),"C","採点基準が不正です"))))</f>
        <v/>
      </c>
      <c r="N17" s="41"/>
      <c r="O17" s="41"/>
      <c r="P17" s="41"/>
      <c r="Q17" s="41"/>
      <c r="R17" s="41"/>
      <c r="S17" s="41" t="str">
        <f t="shared" si="2"/>
        <v>未入力</v>
      </c>
      <c r="T17" s="41" t="str">
        <f t="shared" si="3"/>
        <v/>
      </c>
      <c r="U17" s="41" t="str" cm="1">
        <f t="array" aca="1" ref="U17" ca="1">IF(T17 = "","",IF(T17&gt;=INDEX(採点基準_観点別!$C$3:$C$1000,_xlfn.XMATCH(MID(CELL("filename",$A$1),FIND("]",CELL("filename",$A$1))+1,31)&amp;$F$1,採点基準_観点別!$F$3:$F$1000)),"A",IF(T17&gt;=INDEX(採点基準_観点別!$D$3:$D$1000,_xlfn.XMATCH(MID(CELL("filename",$A$1),FIND("]",CELL("filename",$A$1))+1,31)&amp;$F$1,採点基準_観点別!$F$3:$F$1000)),"B",IF(T17&lt;=INDEX(採点基準_観点別!$E$3:$E$1000,_xlfn.XMATCH(MID(CELL("filename",$A$1),FIND("]",CELL("filename",$A$1))+1,31)&amp;$F$1,採点基準_観点別!$F$3:$F$1000)),"C","採点基準が不正です"))))</f>
        <v/>
      </c>
      <c r="V17" s="41"/>
      <c r="W17" s="41" t="str">
        <f t="shared" si="4"/>
        <v>未入力</v>
      </c>
      <c r="X17" s="41" t="str">
        <f t="shared" si="5"/>
        <v/>
      </c>
      <c r="Y17" s="41" t="str" cm="1">
        <f t="array" aca="1" ref="Y17" ca="1">IF(X17 = "","",IF(X17&gt;=INDEX(採点基準_観点別!$C$3:$C$1000,_xlfn.XMATCH(MID(CELL("filename",$A$1),FIND("]",CELL("filename",$A$1))+1,31)&amp;$F$1,採点基準_観点別!$F$3:$F$1000)),"A",IF(X17&gt;=INDEX(採点基準_観点別!$D$3:$D$1000,_xlfn.XMATCH(MID(CELL("filename",$A$1),FIND("]",CELL("filename",$A$1))+1,31)&amp;$F$1,採点基準_観点別!$F$3:$F$1000)),"B",IF(X17&lt;=INDEX(採点基準_観点別!$E$3:$E$1000,_xlfn.XMATCH(MID(CELL("filename",$A$1),FIND("]",CELL("filename",$A$1))+1,31)&amp;$F$1,採点基準_観点別!$F$3:$F$1000)),"C","採点基準が不正です"))))</f>
        <v/>
      </c>
    </row>
    <row r="18" spans="1:25" x14ac:dyDescent="0.4">
      <c r="A18" s="54">
        <v>14</v>
      </c>
      <c r="B18" s="54" t="s">
        <v>52</v>
      </c>
      <c r="C18" s="31"/>
      <c r="D18" s="31"/>
      <c r="E18" s="31"/>
      <c r="F18" s="31"/>
      <c r="G18" s="31"/>
      <c r="H18" s="31"/>
      <c r="I18" s="31"/>
      <c r="J18" s="31"/>
      <c r="K18" s="31" t="str">
        <f t="shared" si="0"/>
        <v>未入力</v>
      </c>
      <c r="L18" s="31" t="str">
        <f t="shared" si="1"/>
        <v/>
      </c>
      <c r="M18" s="31" t="str" cm="1">
        <f t="array" aca="1" ref="M18" ca="1">IF(L18 = "","",IF(L18&gt;=INDEX(採点基準_観点別!$C$3:$C$1000,_xlfn.XMATCH(MID(CELL("filename",$A$1),FIND("]",CELL("filename",$A$1))+1,31)&amp;$F$1,採点基準_観点別!$F$3:$F$1000)),"A",IF(L18&gt;=INDEX(採点基準_観点別!$D$3:$D$1000,_xlfn.XMATCH(MID(CELL("filename",$A$1),FIND("]",CELL("filename",$A$1))+1,31)&amp;$F$1,採点基準_観点別!$F$3:$F$1000)),"B",IF(L18&lt;=INDEX(採点基準_観点別!$E$3:$E$1000,_xlfn.XMATCH(MID(CELL("filename",$A$1),FIND("]",CELL("filename",$A$1))+1,31)&amp;$F$1,採点基準_観点別!$F$3:$F$1000)),"C","採点基準が不正です"))))</f>
        <v/>
      </c>
      <c r="N18" s="31"/>
      <c r="O18" s="31"/>
      <c r="P18" s="31"/>
      <c r="Q18" s="31"/>
      <c r="R18" s="31"/>
      <c r="S18" s="31" t="str">
        <f t="shared" si="2"/>
        <v>未入力</v>
      </c>
      <c r="T18" s="31" t="str">
        <f t="shared" si="3"/>
        <v/>
      </c>
      <c r="U18" s="31" t="str" cm="1">
        <f t="array" aca="1" ref="U18" ca="1">IF(T18 = "","",IF(T18&gt;=INDEX(採点基準_観点別!$C$3:$C$1000,_xlfn.XMATCH(MID(CELL("filename",$A$1),FIND("]",CELL("filename",$A$1))+1,31)&amp;$F$1,採点基準_観点別!$F$3:$F$1000)),"A",IF(T18&gt;=INDEX(採点基準_観点別!$D$3:$D$1000,_xlfn.XMATCH(MID(CELL("filename",$A$1),FIND("]",CELL("filename",$A$1))+1,31)&amp;$F$1,採点基準_観点別!$F$3:$F$1000)),"B",IF(T18&lt;=INDEX(採点基準_観点別!$E$3:$E$1000,_xlfn.XMATCH(MID(CELL("filename",$A$1),FIND("]",CELL("filename",$A$1))+1,31)&amp;$F$1,採点基準_観点別!$F$3:$F$1000)),"C","採点基準が不正です"))))</f>
        <v/>
      </c>
      <c r="V18" s="31"/>
      <c r="W18" s="31" t="str">
        <f t="shared" si="4"/>
        <v>未入力</v>
      </c>
      <c r="X18" s="31" t="str">
        <f t="shared" si="5"/>
        <v/>
      </c>
      <c r="Y18" s="31" t="str" cm="1">
        <f t="array" aca="1" ref="Y18" ca="1">IF(X18 = "","",IF(X18&gt;=INDEX(採点基準_観点別!$C$3:$C$1000,_xlfn.XMATCH(MID(CELL("filename",$A$1),FIND("]",CELL("filename",$A$1))+1,31)&amp;$F$1,採点基準_観点別!$F$3:$F$1000)),"A",IF(X18&gt;=INDEX(採点基準_観点別!$D$3:$D$1000,_xlfn.XMATCH(MID(CELL("filename",$A$1),FIND("]",CELL("filename",$A$1))+1,31)&amp;$F$1,採点基準_観点別!$F$3:$F$1000)),"B",IF(X18&lt;=INDEX(採点基準_観点別!$E$3:$E$1000,_xlfn.XMATCH(MID(CELL("filename",$A$1),FIND("]",CELL("filename",$A$1))+1,31)&amp;$F$1,採点基準_観点別!$F$3:$F$1000)),"C","採点基準が不正です"))))</f>
        <v/>
      </c>
    </row>
    <row r="19" spans="1:25" x14ac:dyDescent="0.4">
      <c r="A19" s="41">
        <v>15</v>
      </c>
      <c r="B19" s="41" t="s">
        <v>51</v>
      </c>
      <c r="C19" s="41"/>
      <c r="D19" s="41"/>
      <c r="E19" s="41"/>
      <c r="F19" s="41"/>
      <c r="G19" s="41"/>
      <c r="H19" s="41"/>
      <c r="I19" s="41"/>
      <c r="J19" s="41"/>
      <c r="K19" s="41" t="str">
        <f t="shared" si="0"/>
        <v>未入力</v>
      </c>
      <c r="L19" s="41" t="str">
        <f t="shared" si="1"/>
        <v/>
      </c>
      <c r="M19" s="41" t="str" cm="1">
        <f t="array" aca="1" ref="M19" ca="1">IF(L19 = "","",IF(L19&gt;=INDEX(採点基準_観点別!$C$3:$C$1000,_xlfn.XMATCH(MID(CELL("filename",$A$1),FIND("]",CELL("filename",$A$1))+1,31)&amp;$F$1,採点基準_観点別!$F$3:$F$1000)),"A",IF(L19&gt;=INDEX(採点基準_観点別!$D$3:$D$1000,_xlfn.XMATCH(MID(CELL("filename",$A$1),FIND("]",CELL("filename",$A$1))+1,31)&amp;$F$1,採点基準_観点別!$F$3:$F$1000)),"B",IF(L19&lt;=INDEX(採点基準_観点別!$E$3:$E$1000,_xlfn.XMATCH(MID(CELL("filename",$A$1),FIND("]",CELL("filename",$A$1))+1,31)&amp;$F$1,採点基準_観点別!$F$3:$F$1000)),"C","採点基準が不正です"))))</f>
        <v/>
      </c>
      <c r="N19" s="41"/>
      <c r="O19" s="41"/>
      <c r="P19" s="41"/>
      <c r="Q19" s="41"/>
      <c r="R19" s="41"/>
      <c r="S19" s="41" t="str">
        <f t="shared" si="2"/>
        <v>未入力</v>
      </c>
      <c r="T19" s="41" t="str">
        <f t="shared" si="3"/>
        <v/>
      </c>
      <c r="U19" s="41" t="str" cm="1">
        <f t="array" aca="1" ref="U19" ca="1">IF(T19 = "","",IF(T19&gt;=INDEX(採点基準_観点別!$C$3:$C$1000,_xlfn.XMATCH(MID(CELL("filename",$A$1),FIND("]",CELL("filename",$A$1))+1,31)&amp;$F$1,採点基準_観点別!$F$3:$F$1000)),"A",IF(T19&gt;=INDEX(採点基準_観点別!$D$3:$D$1000,_xlfn.XMATCH(MID(CELL("filename",$A$1),FIND("]",CELL("filename",$A$1))+1,31)&amp;$F$1,採点基準_観点別!$F$3:$F$1000)),"B",IF(T19&lt;=INDEX(採点基準_観点別!$E$3:$E$1000,_xlfn.XMATCH(MID(CELL("filename",$A$1),FIND("]",CELL("filename",$A$1))+1,31)&amp;$F$1,採点基準_観点別!$F$3:$F$1000)),"C","採点基準が不正です"))))</f>
        <v/>
      </c>
      <c r="V19" s="41"/>
      <c r="W19" s="41" t="str">
        <f t="shared" si="4"/>
        <v>未入力</v>
      </c>
      <c r="X19" s="41" t="str">
        <f t="shared" si="5"/>
        <v/>
      </c>
      <c r="Y19" s="41" t="str" cm="1">
        <f t="array" aca="1" ref="Y19" ca="1">IF(X19 = "","",IF(X19&gt;=INDEX(採点基準_観点別!$C$3:$C$1000,_xlfn.XMATCH(MID(CELL("filename",$A$1),FIND("]",CELL("filename",$A$1))+1,31)&amp;$F$1,採点基準_観点別!$F$3:$F$1000)),"A",IF(X19&gt;=INDEX(採点基準_観点別!$D$3:$D$1000,_xlfn.XMATCH(MID(CELL("filename",$A$1),FIND("]",CELL("filename",$A$1))+1,31)&amp;$F$1,採点基準_観点別!$F$3:$F$1000)),"B",IF(X19&lt;=INDEX(採点基準_観点別!$E$3:$E$1000,_xlfn.XMATCH(MID(CELL("filename",$A$1),FIND("]",CELL("filename",$A$1))+1,31)&amp;$F$1,採点基準_観点別!$F$3:$F$1000)),"C","採点基準が不正です"))))</f>
        <v/>
      </c>
    </row>
    <row r="20" spans="1:25" x14ac:dyDescent="0.4">
      <c r="A20" s="54">
        <v>16</v>
      </c>
      <c r="B20" s="54" t="s">
        <v>52</v>
      </c>
      <c r="C20" s="31"/>
      <c r="D20" s="31"/>
      <c r="E20" s="31"/>
      <c r="F20" s="31"/>
      <c r="G20" s="31"/>
      <c r="H20" s="31"/>
      <c r="I20" s="31"/>
      <c r="J20" s="31"/>
      <c r="K20" s="31" t="str">
        <f t="shared" si="0"/>
        <v>未入力</v>
      </c>
      <c r="L20" s="31" t="str">
        <f t="shared" si="1"/>
        <v/>
      </c>
      <c r="M20" s="31" t="str" cm="1">
        <f t="array" aca="1" ref="M20" ca="1">IF(L20 = "","",IF(L20&gt;=INDEX(採点基準_観点別!$C$3:$C$1000,_xlfn.XMATCH(MID(CELL("filename",$A$1),FIND("]",CELL("filename",$A$1))+1,31)&amp;$F$1,採点基準_観点別!$F$3:$F$1000)),"A",IF(L20&gt;=INDEX(採点基準_観点別!$D$3:$D$1000,_xlfn.XMATCH(MID(CELL("filename",$A$1),FIND("]",CELL("filename",$A$1))+1,31)&amp;$F$1,採点基準_観点別!$F$3:$F$1000)),"B",IF(L20&lt;=INDEX(採点基準_観点別!$E$3:$E$1000,_xlfn.XMATCH(MID(CELL("filename",$A$1),FIND("]",CELL("filename",$A$1))+1,31)&amp;$F$1,採点基準_観点別!$F$3:$F$1000)),"C","採点基準が不正です"))))</f>
        <v/>
      </c>
      <c r="N20" s="31"/>
      <c r="O20" s="31"/>
      <c r="P20" s="31"/>
      <c r="Q20" s="31"/>
      <c r="R20" s="31"/>
      <c r="S20" s="31" t="str">
        <f t="shared" si="2"/>
        <v>未入力</v>
      </c>
      <c r="T20" s="31" t="str">
        <f t="shared" si="3"/>
        <v/>
      </c>
      <c r="U20" s="31" t="str" cm="1">
        <f t="array" aca="1" ref="U20" ca="1">IF(T20 = "","",IF(T20&gt;=INDEX(採点基準_観点別!$C$3:$C$1000,_xlfn.XMATCH(MID(CELL("filename",$A$1),FIND("]",CELL("filename",$A$1))+1,31)&amp;$F$1,採点基準_観点別!$F$3:$F$1000)),"A",IF(T20&gt;=INDEX(採点基準_観点別!$D$3:$D$1000,_xlfn.XMATCH(MID(CELL("filename",$A$1),FIND("]",CELL("filename",$A$1))+1,31)&amp;$F$1,採点基準_観点別!$F$3:$F$1000)),"B",IF(T20&lt;=INDEX(採点基準_観点別!$E$3:$E$1000,_xlfn.XMATCH(MID(CELL("filename",$A$1),FIND("]",CELL("filename",$A$1))+1,31)&amp;$F$1,採点基準_観点別!$F$3:$F$1000)),"C","採点基準が不正です"))))</f>
        <v/>
      </c>
      <c r="V20" s="31"/>
      <c r="W20" s="31" t="str">
        <f t="shared" si="4"/>
        <v>未入力</v>
      </c>
      <c r="X20" s="31" t="str">
        <f t="shared" si="5"/>
        <v/>
      </c>
      <c r="Y20" s="31" t="str" cm="1">
        <f t="array" aca="1" ref="Y20" ca="1">IF(X20 = "","",IF(X20&gt;=INDEX(採点基準_観点別!$C$3:$C$1000,_xlfn.XMATCH(MID(CELL("filename",$A$1),FIND("]",CELL("filename",$A$1))+1,31)&amp;$F$1,採点基準_観点別!$F$3:$F$1000)),"A",IF(X20&gt;=INDEX(採点基準_観点別!$D$3:$D$1000,_xlfn.XMATCH(MID(CELL("filename",$A$1),FIND("]",CELL("filename",$A$1))+1,31)&amp;$F$1,採点基準_観点別!$F$3:$F$1000)),"B",IF(X20&lt;=INDEX(採点基準_観点別!$E$3:$E$1000,_xlfn.XMATCH(MID(CELL("filename",$A$1),FIND("]",CELL("filename",$A$1))+1,31)&amp;$F$1,採点基準_観点別!$F$3:$F$1000)),"C","採点基準が不正です"))))</f>
        <v/>
      </c>
    </row>
    <row r="21" spans="1:25" x14ac:dyDescent="0.4">
      <c r="A21" s="41">
        <v>17</v>
      </c>
      <c r="B21" s="41" t="s">
        <v>52</v>
      </c>
      <c r="C21" s="41"/>
      <c r="D21" s="41"/>
      <c r="E21" s="41"/>
      <c r="F21" s="41"/>
      <c r="G21" s="41"/>
      <c r="H21" s="41"/>
      <c r="I21" s="41"/>
      <c r="J21" s="41"/>
      <c r="K21" s="41" t="str">
        <f t="shared" si="0"/>
        <v>未入力</v>
      </c>
      <c r="L21" s="41" t="str">
        <f t="shared" si="1"/>
        <v/>
      </c>
      <c r="M21" s="41" t="str" cm="1">
        <f t="array" aca="1" ref="M21" ca="1">IF(L21 = "","",IF(L21&gt;=INDEX(採点基準_観点別!$C$3:$C$1000,_xlfn.XMATCH(MID(CELL("filename",$A$1),FIND("]",CELL("filename",$A$1))+1,31)&amp;$F$1,採点基準_観点別!$F$3:$F$1000)),"A",IF(L21&gt;=INDEX(採点基準_観点別!$D$3:$D$1000,_xlfn.XMATCH(MID(CELL("filename",$A$1),FIND("]",CELL("filename",$A$1))+1,31)&amp;$F$1,採点基準_観点別!$F$3:$F$1000)),"B",IF(L21&lt;=INDEX(採点基準_観点別!$E$3:$E$1000,_xlfn.XMATCH(MID(CELL("filename",$A$1),FIND("]",CELL("filename",$A$1))+1,31)&amp;$F$1,採点基準_観点別!$F$3:$F$1000)),"C","採点基準が不正です"))))</f>
        <v/>
      </c>
      <c r="N21" s="41"/>
      <c r="O21" s="41"/>
      <c r="P21" s="41"/>
      <c r="Q21" s="41"/>
      <c r="R21" s="41"/>
      <c r="S21" s="41" t="str">
        <f t="shared" si="2"/>
        <v>未入力</v>
      </c>
      <c r="T21" s="41" t="str">
        <f t="shared" si="3"/>
        <v/>
      </c>
      <c r="U21" s="41" t="str" cm="1">
        <f t="array" aca="1" ref="U21" ca="1">IF(T21 = "","",IF(T21&gt;=INDEX(採点基準_観点別!$C$3:$C$1000,_xlfn.XMATCH(MID(CELL("filename",$A$1),FIND("]",CELL("filename",$A$1))+1,31)&amp;$F$1,採点基準_観点別!$F$3:$F$1000)),"A",IF(T21&gt;=INDEX(採点基準_観点別!$D$3:$D$1000,_xlfn.XMATCH(MID(CELL("filename",$A$1),FIND("]",CELL("filename",$A$1))+1,31)&amp;$F$1,採点基準_観点別!$F$3:$F$1000)),"B",IF(T21&lt;=INDEX(採点基準_観点別!$E$3:$E$1000,_xlfn.XMATCH(MID(CELL("filename",$A$1),FIND("]",CELL("filename",$A$1))+1,31)&amp;$F$1,採点基準_観点別!$F$3:$F$1000)),"C","採点基準が不正です"))))</f>
        <v/>
      </c>
      <c r="V21" s="41"/>
      <c r="W21" s="41" t="str">
        <f t="shared" si="4"/>
        <v>未入力</v>
      </c>
      <c r="X21" s="41" t="str">
        <f t="shared" si="5"/>
        <v/>
      </c>
      <c r="Y21" s="41" t="str" cm="1">
        <f t="array" aca="1" ref="Y21" ca="1">IF(X21 = "","",IF(X21&gt;=INDEX(採点基準_観点別!$C$3:$C$1000,_xlfn.XMATCH(MID(CELL("filename",$A$1),FIND("]",CELL("filename",$A$1))+1,31)&amp;$F$1,採点基準_観点別!$F$3:$F$1000)),"A",IF(X21&gt;=INDEX(採点基準_観点別!$D$3:$D$1000,_xlfn.XMATCH(MID(CELL("filename",$A$1),FIND("]",CELL("filename",$A$1))+1,31)&amp;$F$1,採点基準_観点別!$F$3:$F$1000)),"B",IF(X21&lt;=INDEX(採点基準_観点別!$E$3:$E$1000,_xlfn.XMATCH(MID(CELL("filename",$A$1),FIND("]",CELL("filename",$A$1))+1,31)&amp;$F$1,採点基準_観点別!$F$3:$F$1000)),"C","採点基準が不正です"))))</f>
        <v/>
      </c>
    </row>
    <row r="22" spans="1:25" x14ac:dyDescent="0.4">
      <c r="A22" s="54">
        <v>18</v>
      </c>
      <c r="B22" s="54" t="s">
        <v>51</v>
      </c>
      <c r="C22" s="31"/>
      <c r="D22" s="31"/>
      <c r="E22" s="31"/>
      <c r="F22" s="31"/>
      <c r="G22" s="31"/>
      <c r="H22" s="31"/>
      <c r="I22" s="31"/>
      <c r="J22" s="31"/>
      <c r="K22" s="31" t="str">
        <f t="shared" si="0"/>
        <v>未入力</v>
      </c>
      <c r="L22" s="31" t="str">
        <f t="shared" si="1"/>
        <v/>
      </c>
      <c r="M22" s="31" t="str" cm="1">
        <f t="array" aca="1" ref="M22" ca="1">IF(L22 = "","",IF(L22&gt;=INDEX(採点基準_観点別!$C$3:$C$1000,_xlfn.XMATCH(MID(CELL("filename",$A$1),FIND("]",CELL("filename",$A$1))+1,31)&amp;$F$1,採点基準_観点別!$F$3:$F$1000)),"A",IF(L22&gt;=INDEX(採点基準_観点別!$D$3:$D$1000,_xlfn.XMATCH(MID(CELL("filename",$A$1),FIND("]",CELL("filename",$A$1))+1,31)&amp;$F$1,採点基準_観点別!$F$3:$F$1000)),"B",IF(L22&lt;=INDEX(採点基準_観点別!$E$3:$E$1000,_xlfn.XMATCH(MID(CELL("filename",$A$1),FIND("]",CELL("filename",$A$1))+1,31)&amp;$F$1,採点基準_観点別!$F$3:$F$1000)),"C","採点基準が不正です"))))</f>
        <v/>
      </c>
      <c r="N22" s="31"/>
      <c r="O22" s="31"/>
      <c r="P22" s="31"/>
      <c r="Q22" s="31"/>
      <c r="R22" s="31"/>
      <c r="S22" s="31" t="str">
        <f t="shared" si="2"/>
        <v>未入力</v>
      </c>
      <c r="T22" s="31" t="str">
        <f t="shared" si="3"/>
        <v/>
      </c>
      <c r="U22" s="31" t="str" cm="1">
        <f t="array" aca="1" ref="U22" ca="1">IF(T22 = "","",IF(T22&gt;=INDEX(採点基準_観点別!$C$3:$C$1000,_xlfn.XMATCH(MID(CELL("filename",$A$1),FIND("]",CELL("filename",$A$1))+1,31)&amp;$F$1,採点基準_観点別!$F$3:$F$1000)),"A",IF(T22&gt;=INDEX(採点基準_観点別!$D$3:$D$1000,_xlfn.XMATCH(MID(CELL("filename",$A$1),FIND("]",CELL("filename",$A$1))+1,31)&amp;$F$1,採点基準_観点別!$F$3:$F$1000)),"B",IF(T22&lt;=INDEX(採点基準_観点別!$E$3:$E$1000,_xlfn.XMATCH(MID(CELL("filename",$A$1),FIND("]",CELL("filename",$A$1))+1,31)&amp;$F$1,採点基準_観点別!$F$3:$F$1000)),"C","採点基準が不正です"))))</f>
        <v/>
      </c>
      <c r="V22" s="31"/>
      <c r="W22" s="31" t="str">
        <f t="shared" si="4"/>
        <v>未入力</v>
      </c>
      <c r="X22" s="31" t="str">
        <f t="shared" si="5"/>
        <v/>
      </c>
      <c r="Y22" s="31" t="str" cm="1">
        <f t="array" aca="1" ref="Y22" ca="1">IF(X22 = "","",IF(X22&gt;=INDEX(採点基準_観点別!$C$3:$C$1000,_xlfn.XMATCH(MID(CELL("filename",$A$1),FIND("]",CELL("filename",$A$1))+1,31)&amp;$F$1,採点基準_観点別!$F$3:$F$1000)),"A",IF(X22&gt;=INDEX(採点基準_観点別!$D$3:$D$1000,_xlfn.XMATCH(MID(CELL("filename",$A$1),FIND("]",CELL("filename",$A$1))+1,31)&amp;$F$1,採点基準_観点別!$F$3:$F$1000)),"B",IF(X22&lt;=INDEX(採点基準_観点別!$E$3:$E$1000,_xlfn.XMATCH(MID(CELL("filename",$A$1),FIND("]",CELL("filename",$A$1))+1,31)&amp;$F$1,採点基準_観点別!$F$3:$F$1000)),"C","採点基準が不正です"))))</f>
        <v/>
      </c>
    </row>
    <row r="23" spans="1:25" x14ac:dyDescent="0.4">
      <c r="A23" s="41">
        <v>19</v>
      </c>
      <c r="B23" s="41" t="s">
        <v>52</v>
      </c>
      <c r="C23" s="41"/>
      <c r="D23" s="41"/>
      <c r="E23" s="41"/>
      <c r="F23" s="41"/>
      <c r="G23" s="41"/>
      <c r="H23" s="41"/>
      <c r="I23" s="41"/>
      <c r="J23" s="41"/>
      <c r="K23" s="41" t="str">
        <f t="shared" si="0"/>
        <v>未入力</v>
      </c>
      <c r="L23" s="41" t="str">
        <f t="shared" si="1"/>
        <v/>
      </c>
      <c r="M23" s="41" t="str" cm="1">
        <f t="array" aca="1" ref="M23" ca="1">IF(L23 = "","",IF(L23&gt;=INDEX(採点基準_観点別!$C$3:$C$1000,_xlfn.XMATCH(MID(CELL("filename",$A$1),FIND("]",CELL("filename",$A$1))+1,31)&amp;$F$1,採点基準_観点別!$F$3:$F$1000)),"A",IF(L23&gt;=INDEX(採点基準_観点別!$D$3:$D$1000,_xlfn.XMATCH(MID(CELL("filename",$A$1),FIND("]",CELL("filename",$A$1))+1,31)&amp;$F$1,採点基準_観点別!$F$3:$F$1000)),"B",IF(L23&lt;=INDEX(採点基準_観点別!$E$3:$E$1000,_xlfn.XMATCH(MID(CELL("filename",$A$1),FIND("]",CELL("filename",$A$1))+1,31)&amp;$F$1,採点基準_観点別!$F$3:$F$1000)),"C","採点基準が不正です"))))</f>
        <v/>
      </c>
      <c r="N23" s="41"/>
      <c r="O23" s="41"/>
      <c r="P23" s="41"/>
      <c r="Q23" s="41"/>
      <c r="R23" s="41"/>
      <c r="S23" s="41" t="str">
        <f t="shared" si="2"/>
        <v>未入力</v>
      </c>
      <c r="T23" s="41" t="str">
        <f t="shared" si="3"/>
        <v/>
      </c>
      <c r="U23" s="41" t="str" cm="1">
        <f t="array" aca="1" ref="U23" ca="1">IF(T23 = "","",IF(T23&gt;=INDEX(採点基準_観点別!$C$3:$C$1000,_xlfn.XMATCH(MID(CELL("filename",$A$1),FIND("]",CELL("filename",$A$1))+1,31)&amp;$F$1,採点基準_観点別!$F$3:$F$1000)),"A",IF(T23&gt;=INDEX(採点基準_観点別!$D$3:$D$1000,_xlfn.XMATCH(MID(CELL("filename",$A$1),FIND("]",CELL("filename",$A$1))+1,31)&amp;$F$1,採点基準_観点別!$F$3:$F$1000)),"B",IF(T23&lt;=INDEX(採点基準_観点別!$E$3:$E$1000,_xlfn.XMATCH(MID(CELL("filename",$A$1),FIND("]",CELL("filename",$A$1))+1,31)&amp;$F$1,採点基準_観点別!$F$3:$F$1000)),"C","採点基準が不正です"))))</f>
        <v/>
      </c>
      <c r="V23" s="41"/>
      <c r="W23" s="41" t="str">
        <f t="shared" si="4"/>
        <v>未入力</v>
      </c>
      <c r="X23" s="41" t="str">
        <f t="shared" si="5"/>
        <v/>
      </c>
      <c r="Y23" s="41" t="str" cm="1">
        <f t="array" aca="1" ref="Y23" ca="1">IF(X23 = "","",IF(X23&gt;=INDEX(採点基準_観点別!$C$3:$C$1000,_xlfn.XMATCH(MID(CELL("filename",$A$1),FIND("]",CELL("filename",$A$1))+1,31)&amp;$F$1,採点基準_観点別!$F$3:$F$1000)),"A",IF(X23&gt;=INDEX(採点基準_観点別!$D$3:$D$1000,_xlfn.XMATCH(MID(CELL("filename",$A$1),FIND("]",CELL("filename",$A$1))+1,31)&amp;$F$1,採点基準_観点別!$F$3:$F$1000)),"B",IF(X23&lt;=INDEX(採点基準_観点別!$E$3:$E$1000,_xlfn.XMATCH(MID(CELL("filename",$A$1),FIND("]",CELL("filename",$A$1))+1,31)&amp;$F$1,採点基準_観点別!$F$3:$F$1000)),"C","採点基準が不正です"))))</f>
        <v/>
      </c>
    </row>
    <row r="24" spans="1:25" x14ac:dyDescent="0.4">
      <c r="A24" s="54">
        <v>20</v>
      </c>
      <c r="B24" s="54" t="s">
        <v>51</v>
      </c>
      <c r="C24" s="31"/>
      <c r="D24" s="31"/>
      <c r="E24" s="31"/>
      <c r="F24" s="31"/>
      <c r="G24" s="31"/>
      <c r="H24" s="31"/>
      <c r="I24" s="31"/>
      <c r="J24" s="31"/>
      <c r="K24" s="31" t="str">
        <f t="shared" si="0"/>
        <v>未入力</v>
      </c>
      <c r="L24" s="31" t="str">
        <f t="shared" si="1"/>
        <v/>
      </c>
      <c r="M24" s="31" t="str" cm="1">
        <f t="array" aca="1" ref="M24" ca="1">IF(L24 = "","",IF(L24&gt;=INDEX(採点基準_観点別!$C$3:$C$1000,_xlfn.XMATCH(MID(CELL("filename",$A$1),FIND("]",CELL("filename",$A$1))+1,31)&amp;$F$1,採点基準_観点別!$F$3:$F$1000)),"A",IF(L24&gt;=INDEX(採点基準_観点別!$D$3:$D$1000,_xlfn.XMATCH(MID(CELL("filename",$A$1),FIND("]",CELL("filename",$A$1))+1,31)&amp;$F$1,採点基準_観点別!$F$3:$F$1000)),"B",IF(L24&lt;=INDEX(採点基準_観点別!$E$3:$E$1000,_xlfn.XMATCH(MID(CELL("filename",$A$1),FIND("]",CELL("filename",$A$1))+1,31)&amp;$F$1,採点基準_観点別!$F$3:$F$1000)),"C","採点基準が不正です"))))</f>
        <v/>
      </c>
      <c r="N24" s="31"/>
      <c r="O24" s="31"/>
      <c r="P24" s="31"/>
      <c r="Q24" s="31"/>
      <c r="R24" s="31"/>
      <c r="S24" s="31" t="str">
        <f t="shared" si="2"/>
        <v>未入力</v>
      </c>
      <c r="T24" s="31" t="str">
        <f t="shared" si="3"/>
        <v/>
      </c>
      <c r="U24" s="31" t="str" cm="1">
        <f t="array" aca="1" ref="U24" ca="1">IF(T24 = "","",IF(T24&gt;=INDEX(採点基準_観点別!$C$3:$C$1000,_xlfn.XMATCH(MID(CELL("filename",$A$1),FIND("]",CELL("filename",$A$1))+1,31)&amp;$F$1,採点基準_観点別!$F$3:$F$1000)),"A",IF(T24&gt;=INDEX(採点基準_観点別!$D$3:$D$1000,_xlfn.XMATCH(MID(CELL("filename",$A$1),FIND("]",CELL("filename",$A$1))+1,31)&amp;$F$1,採点基準_観点別!$F$3:$F$1000)),"B",IF(T24&lt;=INDEX(採点基準_観点別!$E$3:$E$1000,_xlfn.XMATCH(MID(CELL("filename",$A$1),FIND("]",CELL("filename",$A$1))+1,31)&amp;$F$1,採点基準_観点別!$F$3:$F$1000)),"C","採点基準が不正です"))))</f>
        <v/>
      </c>
      <c r="V24" s="31"/>
      <c r="W24" s="31" t="str">
        <f t="shared" si="4"/>
        <v>未入力</v>
      </c>
      <c r="X24" s="31" t="str">
        <f t="shared" si="5"/>
        <v/>
      </c>
      <c r="Y24" s="31" t="str" cm="1">
        <f t="array" aca="1" ref="Y24" ca="1">IF(X24 = "","",IF(X24&gt;=INDEX(採点基準_観点別!$C$3:$C$1000,_xlfn.XMATCH(MID(CELL("filename",$A$1),FIND("]",CELL("filename",$A$1))+1,31)&amp;$F$1,採点基準_観点別!$F$3:$F$1000)),"A",IF(X24&gt;=INDEX(採点基準_観点別!$D$3:$D$1000,_xlfn.XMATCH(MID(CELL("filename",$A$1),FIND("]",CELL("filename",$A$1))+1,31)&amp;$F$1,採点基準_観点別!$F$3:$F$1000)),"B",IF(X24&lt;=INDEX(採点基準_観点別!$E$3:$E$1000,_xlfn.XMATCH(MID(CELL("filename",$A$1),FIND("]",CELL("filename",$A$1))+1,31)&amp;$F$1,採点基準_観点別!$F$3:$F$1000)),"C","採点基準が不正です"))))</f>
        <v/>
      </c>
    </row>
    <row r="25" spans="1:25" x14ac:dyDescent="0.4">
      <c r="A25" s="41">
        <v>21</v>
      </c>
      <c r="B25" s="41" t="s">
        <v>52</v>
      </c>
      <c r="C25" s="41"/>
      <c r="D25" s="41"/>
      <c r="E25" s="41"/>
      <c r="F25" s="41"/>
      <c r="G25" s="41"/>
      <c r="H25" s="41"/>
      <c r="I25" s="41"/>
      <c r="J25" s="41"/>
      <c r="K25" s="41" t="str">
        <f t="shared" si="0"/>
        <v>未入力</v>
      </c>
      <c r="L25" s="41" t="str">
        <f t="shared" si="1"/>
        <v/>
      </c>
      <c r="M25" s="41" t="str" cm="1">
        <f t="array" aca="1" ref="M25" ca="1">IF(L25 = "","",IF(L25&gt;=INDEX(採点基準_観点別!$C$3:$C$1000,_xlfn.XMATCH(MID(CELL("filename",$A$1),FIND("]",CELL("filename",$A$1))+1,31)&amp;$F$1,採点基準_観点別!$F$3:$F$1000)),"A",IF(L25&gt;=INDEX(採点基準_観点別!$D$3:$D$1000,_xlfn.XMATCH(MID(CELL("filename",$A$1),FIND("]",CELL("filename",$A$1))+1,31)&amp;$F$1,採点基準_観点別!$F$3:$F$1000)),"B",IF(L25&lt;=INDEX(採点基準_観点別!$E$3:$E$1000,_xlfn.XMATCH(MID(CELL("filename",$A$1),FIND("]",CELL("filename",$A$1))+1,31)&amp;$F$1,採点基準_観点別!$F$3:$F$1000)),"C","採点基準が不正です"))))</f>
        <v/>
      </c>
      <c r="N25" s="41"/>
      <c r="O25" s="41"/>
      <c r="P25" s="41"/>
      <c r="Q25" s="41"/>
      <c r="R25" s="41"/>
      <c r="S25" s="41" t="str">
        <f t="shared" si="2"/>
        <v>未入力</v>
      </c>
      <c r="T25" s="41" t="str">
        <f t="shared" si="3"/>
        <v/>
      </c>
      <c r="U25" s="41" t="str" cm="1">
        <f t="array" aca="1" ref="U25" ca="1">IF(T25 = "","",IF(T25&gt;=INDEX(採点基準_観点別!$C$3:$C$1000,_xlfn.XMATCH(MID(CELL("filename",$A$1),FIND("]",CELL("filename",$A$1))+1,31)&amp;$F$1,採点基準_観点別!$F$3:$F$1000)),"A",IF(T25&gt;=INDEX(採点基準_観点別!$D$3:$D$1000,_xlfn.XMATCH(MID(CELL("filename",$A$1),FIND("]",CELL("filename",$A$1))+1,31)&amp;$F$1,採点基準_観点別!$F$3:$F$1000)),"B",IF(T25&lt;=INDEX(採点基準_観点別!$E$3:$E$1000,_xlfn.XMATCH(MID(CELL("filename",$A$1),FIND("]",CELL("filename",$A$1))+1,31)&amp;$F$1,採点基準_観点別!$F$3:$F$1000)),"C","採点基準が不正です"))))</f>
        <v/>
      </c>
      <c r="V25" s="41"/>
      <c r="W25" s="41" t="str">
        <f t="shared" si="4"/>
        <v>未入力</v>
      </c>
      <c r="X25" s="41" t="str">
        <f t="shared" si="5"/>
        <v/>
      </c>
      <c r="Y25" s="41" t="str" cm="1">
        <f t="array" aca="1" ref="Y25" ca="1">IF(X25 = "","",IF(X25&gt;=INDEX(採点基準_観点別!$C$3:$C$1000,_xlfn.XMATCH(MID(CELL("filename",$A$1),FIND("]",CELL("filename",$A$1))+1,31)&amp;$F$1,採点基準_観点別!$F$3:$F$1000)),"A",IF(X25&gt;=INDEX(採点基準_観点別!$D$3:$D$1000,_xlfn.XMATCH(MID(CELL("filename",$A$1),FIND("]",CELL("filename",$A$1))+1,31)&amp;$F$1,採点基準_観点別!$F$3:$F$1000)),"B",IF(X25&lt;=INDEX(採点基準_観点別!$E$3:$E$1000,_xlfn.XMATCH(MID(CELL("filename",$A$1),FIND("]",CELL("filename",$A$1))+1,31)&amp;$F$1,採点基準_観点別!$F$3:$F$1000)),"C","採点基準が不正です"))))</f>
        <v/>
      </c>
    </row>
  </sheetData>
  <mergeCells count="1">
    <mergeCell ref="C1:E1"/>
  </mergeCells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addUnitBtn">
              <controlPr defaultSize="0" print="0" autoFill="0" autoPict="0" macro="[0]!showAddUnit">
                <anchor moveWithCells="1" sizeWithCells="1">
                  <from>
                    <xdr:col>0</xdr:col>
                    <xdr:colOff>57150</xdr:colOff>
                    <xdr:row>1</xdr:row>
                    <xdr:rowOff>76200</xdr:rowOff>
                  </from>
                  <to>
                    <xdr:col>0</xdr:col>
                    <xdr:colOff>647700</xdr:colOff>
                    <xdr:row>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repairCalc">
              <controlPr defaultSize="0" print="0" autoFill="0" autoPict="0" macro="[0]!CallsetFomula_Btn">
                <anchor moveWithCells="1" sizeWithCells="1">
                  <from>
                    <xdr:col>0</xdr:col>
                    <xdr:colOff>47625</xdr:colOff>
                    <xdr:row>1</xdr:row>
                    <xdr:rowOff>381000</xdr:rowOff>
                  </from>
                  <to>
                    <xdr:col>0</xdr:col>
                    <xdr:colOff>628650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使い方</vt:lpstr>
      <vt:lpstr>生徒氏名設定</vt:lpstr>
      <vt:lpstr>評価項目設定</vt:lpstr>
      <vt:lpstr>その他設定</vt:lpstr>
      <vt:lpstr>設定 (2)</vt:lpstr>
      <vt:lpstr>採点基準_単元別</vt:lpstr>
      <vt:lpstr>採点基準_観点別</vt:lpstr>
      <vt:lpstr>国語(sample)</vt:lpstr>
      <vt:lpstr>国語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2023-05-22T14:19:26Z</dcterms:modified>
</cp:coreProperties>
</file>