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develop\採点支援\saitenxlsx\"/>
    </mc:Choice>
  </mc:AlternateContent>
  <xr:revisionPtr revIDLastSave="0" documentId="13_ncr:1_{5C2C5188-3C6A-4BDE-A643-C23BE52D0CEB}" xr6:coauthVersionLast="47" xr6:coauthVersionMax="47" xr10:uidLastSave="{00000000-0000-0000-0000-000000000000}"/>
  <bookViews>
    <workbookView xWindow="-120" yWindow="-120" windowWidth="29040" windowHeight="15720" activeTab="3" xr2:uid="{A21CF5A8-1970-4B84-8123-57BC29D37732}"/>
  </bookViews>
  <sheets>
    <sheet name="設定" sheetId="1" r:id="rId1"/>
    <sheet name="設定 (2)" sheetId="30" state="hidden" r:id="rId2"/>
    <sheet name="採点基準" sheetId="76" r:id="rId3"/>
    <sheet name="国語" sheetId="89" r:id="rId4"/>
    <sheet name="DeveloperMemo" sheetId="91" state="hidden" r:id="rId5"/>
    <sheet name="算数" sheetId="90" r:id="rId6"/>
  </sheets>
  <functionGroups builtInGroupCount="19"/>
  <definedNames>
    <definedName name="_xlnm._FilterDatabase" localSheetId="2" hidden="1">採点基準!$B$2:$Q$14</definedName>
    <definedName name="_xlnm._FilterDatabase" localSheetId="0" hidden="1">設定!$A$2:$G$38</definedName>
    <definedName name="_xlnm._FilterDatabase" localSheetId="1" hidden="1">'設定 (2)'!$C$2:$D$45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5" i="89" l="1"/>
  <c r="T14" i="76"/>
  <c r="S14" i="76"/>
  <c r="R14" i="76"/>
  <c r="T13" i="76"/>
  <c r="S13" i="76"/>
  <c r="R13" i="76"/>
  <c r="T12" i="76"/>
  <c r="S12" i="76"/>
  <c r="R12" i="76"/>
  <c r="T11" i="76"/>
  <c r="S11" i="76"/>
  <c r="R11" i="76"/>
  <c r="T10" i="76"/>
  <c r="S10" i="76"/>
  <c r="R10" i="76"/>
  <c r="T9" i="76"/>
  <c r="S9" i="76"/>
  <c r="R9" i="76"/>
  <c r="T8" i="76"/>
  <c r="S8" i="76"/>
  <c r="R8" i="76"/>
  <c r="T7" i="76"/>
  <c r="S7" i="76"/>
  <c r="R7" i="76"/>
  <c r="T6" i="76"/>
  <c r="S6" i="76"/>
  <c r="R6" i="76"/>
  <c r="T5" i="76"/>
  <c r="S5" i="76"/>
  <c r="R5" i="76"/>
  <c r="T4" i="76"/>
  <c r="S4" i="76"/>
  <c r="R4" i="76"/>
  <c r="T3" i="76"/>
  <c r="S3" i="76"/>
  <c r="R3" i="76"/>
  <c r="A1" i="91" a="1"/>
  <c r="A1" i="9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<sst xmlns="http://schemas.openxmlformats.org/spreadsheetml/2006/main" count="490" uniqueCount="60">
  <si>
    <t>科目</t>
    <rPh sb="0" eb="2">
      <t>カモク</t>
    </rPh>
    <phoneticPr fontId="3"/>
  </si>
  <si>
    <t>出席番号</t>
    <rPh sb="0" eb="4">
      <t>シュッセキバンゴウ</t>
    </rPh>
    <phoneticPr fontId="3"/>
  </si>
  <si>
    <t>畠山将司</t>
    <rPh sb="0" eb="2">
      <t>ハタケヤマ</t>
    </rPh>
    <rPh sb="2" eb="4">
      <t>マサシ</t>
    </rPh>
    <phoneticPr fontId="3"/>
  </si>
  <si>
    <t>観点</t>
    <rPh sb="0" eb="2">
      <t>カンテン</t>
    </rPh>
    <phoneticPr fontId="3"/>
  </si>
  <si>
    <t>知識・技能</t>
    <rPh sb="0" eb="2">
      <t>チシキ</t>
    </rPh>
    <rPh sb="3" eb="5">
      <t>ギノウ</t>
    </rPh>
    <phoneticPr fontId="3"/>
  </si>
  <si>
    <t>もしもの時に備えよう</t>
    <rPh sb="4" eb="5">
      <t>トキ</t>
    </rPh>
    <rPh sb="6" eb="7">
      <t>ソナ</t>
    </rPh>
    <phoneticPr fontId="3"/>
  </si>
  <si>
    <t>国語</t>
    <rPh sb="0" eb="2">
      <t>コクゴ</t>
    </rPh>
    <phoneticPr fontId="3"/>
  </si>
  <si>
    <t>初雪の降る日</t>
    <rPh sb="0" eb="2">
      <t>ハツユキ</t>
    </rPh>
    <rPh sb="3" eb="4">
      <t>フ</t>
    </rPh>
    <rPh sb="5" eb="6">
      <t>ヒ</t>
    </rPh>
    <phoneticPr fontId="3"/>
  </si>
  <si>
    <t>4年のまとめ</t>
    <rPh sb="1" eb="2">
      <t>ネン</t>
    </rPh>
    <phoneticPr fontId="3"/>
  </si>
  <si>
    <t>思考・判断・表現</t>
  </si>
  <si>
    <t>思考・判断・表現</t>
    <rPh sb="0" eb="2">
      <t>シコウ</t>
    </rPh>
    <rPh sb="3" eb="5">
      <t>ハンダン</t>
    </rPh>
    <rPh sb="6" eb="8">
      <t>ヒョウゲン</t>
    </rPh>
    <phoneticPr fontId="3"/>
  </si>
  <si>
    <t>算数</t>
    <rPh sb="0" eb="2">
      <t>サンスウ</t>
    </rPh>
    <phoneticPr fontId="3"/>
  </si>
  <si>
    <t>3学期総合</t>
    <rPh sb="1" eb="5">
      <t>ガッキソウゴウ</t>
    </rPh>
    <phoneticPr fontId="3"/>
  </si>
  <si>
    <t>※各シートに下記の観点順に表が作成されます。↓</t>
    <rPh sb="1" eb="2">
      <t>カク</t>
    </rPh>
    <rPh sb="6" eb="8">
      <t>カキ</t>
    </rPh>
    <rPh sb="9" eb="11">
      <t>カンテン</t>
    </rPh>
    <rPh sb="11" eb="12">
      <t>ジュン</t>
    </rPh>
    <rPh sb="13" eb="14">
      <t>ヒョウ</t>
    </rPh>
    <rPh sb="15" eb="17">
      <t>サクセイ</t>
    </rPh>
    <phoneticPr fontId="3"/>
  </si>
  <si>
    <t>各シートの最初に表示される総合のタイトルを設定します。</t>
    <rPh sb="0" eb="1">
      <t>カク</t>
    </rPh>
    <rPh sb="5" eb="7">
      <t>サイショ</t>
    </rPh>
    <rPh sb="8" eb="10">
      <t>ヒョウジ</t>
    </rPh>
    <rPh sb="13" eb="15">
      <t>ソウゴウ</t>
    </rPh>
    <rPh sb="21" eb="23">
      <t>セッテイ</t>
    </rPh>
    <phoneticPr fontId="3"/>
  </si>
  <si>
    <t>ウナギの謎を追って</t>
    <rPh sb="4" eb="5">
      <t>ナゾ</t>
    </rPh>
    <rPh sb="6" eb="7">
      <t>オ</t>
    </rPh>
    <phoneticPr fontId="3"/>
  </si>
  <si>
    <t>漢字の確かめ⑤</t>
    <rPh sb="0" eb="2">
      <t>カンジ</t>
    </rPh>
    <rPh sb="3" eb="4">
      <t>タシ</t>
    </rPh>
    <phoneticPr fontId="3"/>
  </si>
  <si>
    <t>話すこと・聞くこと②</t>
    <rPh sb="0" eb="1">
      <t>ハナ</t>
    </rPh>
    <rPh sb="5" eb="6">
      <t>キ</t>
    </rPh>
    <phoneticPr fontId="3"/>
  </si>
  <si>
    <t>主体的に学習に取り組む態度</t>
    <rPh sb="0" eb="3">
      <t>シュタイテキ</t>
    </rPh>
    <rPh sb="4" eb="6">
      <t>ガクシュウ</t>
    </rPh>
    <rPh sb="7" eb="8">
      <t>ト</t>
    </rPh>
    <rPh sb="9" eb="10">
      <t>ク</t>
    </rPh>
    <rPh sb="11" eb="13">
      <t>タイド</t>
    </rPh>
    <phoneticPr fontId="3"/>
  </si>
  <si>
    <t>単元</t>
    <rPh sb="0" eb="2">
      <t>タンゲン</t>
    </rPh>
    <phoneticPr fontId="3"/>
  </si>
  <si>
    <t>氏名</t>
    <rPh sb="0" eb="2">
      <t>シメイ</t>
    </rPh>
    <phoneticPr fontId="3"/>
  </si>
  <si>
    <t>観点</t>
  </si>
  <si>
    <t>単元名</t>
  </si>
  <si>
    <t>3学期総合</t>
  </si>
  <si>
    <t>総計</t>
  </si>
  <si>
    <t>到達率</t>
  </si>
  <si>
    <t>総合評価</t>
  </si>
  <si>
    <t>漢字の確かめ⑤</t>
  </si>
  <si>
    <t>生徒</t>
    <rPh sb="0" eb="2">
      <t>セイト</t>
    </rPh>
    <phoneticPr fontId="3"/>
  </si>
  <si>
    <t>観点の順番</t>
    <rPh sb="0" eb="2">
      <t>カンテン</t>
    </rPh>
    <rPh sb="3" eb="5">
      <t>ジュンバン</t>
    </rPh>
    <phoneticPr fontId="3"/>
  </si>
  <si>
    <t>学期</t>
    <rPh sb="0" eb="2">
      <t>ガッキ</t>
    </rPh>
    <phoneticPr fontId="3"/>
  </si>
  <si>
    <t>初雪の降る日</t>
  </si>
  <si>
    <t>もしもの時に備えよう</t>
  </si>
  <si>
    <t>評価項目</t>
    <rPh sb="0" eb="4">
      <t>ヒョウカコウモク</t>
    </rPh>
    <phoneticPr fontId="3"/>
  </si>
  <si>
    <t>最終行の設定→</t>
    <rPh sb="0" eb="3">
      <t>サイシュウギョウ</t>
    </rPh>
    <rPh sb="4" eb="6">
      <t>セッテイ</t>
    </rPh>
    <phoneticPr fontId="3"/>
  </si>
  <si>
    <t>配点</t>
  </si>
  <si>
    <t>知識・技能</t>
  </si>
  <si>
    <t>観点合計</t>
  </si>
  <si>
    <t>観点到達率</t>
  </si>
  <si>
    <t>観点評価</t>
  </si>
  <si>
    <t>主体的に学習に取り組む態度</t>
  </si>
  <si>
    <t>ウナギの謎を追って</t>
  </si>
  <si>
    <t>4年のまとめ</t>
  </si>
  <si>
    <t>話すこと・聞くこと②</t>
  </si>
  <si>
    <t>重み</t>
  </si>
  <si>
    <t>実施</t>
    <phoneticPr fontId="3"/>
  </si>
  <si>
    <t>観点1</t>
  </si>
  <si>
    <t>A</t>
  </si>
  <si>
    <t>B</t>
  </si>
  <si>
    <t>観点2</t>
  </si>
  <si>
    <t>観点3</t>
    <phoneticPr fontId="3"/>
  </si>
  <si>
    <t>配点</t>
    <phoneticPr fontId="3"/>
  </si>
  <si>
    <t>学級平均</t>
    <phoneticPr fontId="3"/>
  </si>
  <si>
    <t>XLOOKUP(MID(CELL("filename",$A$1),FIND("]",CELL("filename",$A$1))+1,31)&amp;F2&amp;F1,採点基準!$R$3:$R$14,採点基準!</t>
  </si>
  <si>
    <t>XLOOKUP(MID(CELL("filename",$A$1),FIND("]",CELL("filename",$A$1))+1,31)&amp;F2&amp;F1,採点基準!$R$3:$R$100000,採点基準!$F$3:$F$100000,</t>
  </si>
  <si>
    <t>XLOOKUP(MID(CELL("filename",$A$1),FIND("]",CELL("filename",$A$1))+1,31)&amp;F2&amp;F1,採点基準!$S$3:$S$100000,採点基準!$J$3:$J$100000),</t>
  </si>
  <si>
    <t>XLOOKUP(MID(CELL("filename",$A$1),FIND("]",CELL("filename",$A$1))+1,31)&amp;F2&amp;F1,採点基準!$T$3:$S$100000,採点基準!$N$3:$N$100000)</t>
  </si>
  <si>
    <t>)</t>
  </si>
  <si>
    <t>SUM($F$5:$J$5)</t>
    <phoneticPr fontId="3"/>
  </si>
  <si>
    <t>"=XLOOKUP(MID(=MID(CELL("filename",$A$1),FIND("]",CELL("filename",$A$1))+1,31)&amp;F2&amp;F1,採点基準!$R$3:$R$100000,採点基準!$F$3:$F$100000,XLOOKUP(=MID(CELL("filename",$A$1),FIND("]",CELL("filename",$A$1))+1,31)F2&amp;F1,採点基準!$S$3:$S$100000,採点基準!$J$3:$J$100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</si>
</sst>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5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color rgb="FF00610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0"/>
      <name val="游ゴシック"/>
      <family val="2"/>
      <charset val="128"/>
      <scheme val="minor"/>
    </font>
    <font>
      <sz val="10"/>
      <color theme="1"/>
      <name val="Meiryo UI"/>
      <family val="3"/>
      <charset val="128"/>
    </font>
    <font>
      <sz val="11"/>
      <color rgb="FF000000"/>
      <name val="メイリオ"/>
      <family val="3"/>
      <charset val="128"/>
    </font>
    <font>
      <sz val="10"/>
      <color rgb="FF000000"/>
      <name val="メイリオ"/>
      <family val="3"/>
      <charset val="128"/>
    </font>
    <font>
      <b/>
      <sz val="10"/>
      <color theme="0"/>
      <name val="Meiryo UI"/>
      <family val="3"/>
      <charset val="128"/>
    </font>
    <font>
      <sz val="10"/>
      <color rgb="FF006100"/>
      <name val="Meiryo UI"/>
      <family val="3"/>
      <charset val="128"/>
    </font>
    <font>
      <sz val="10"/>
      <color theme="1"/>
      <name val="BIZ UDゴシック"/>
      <family val="3"/>
      <charset val="128"/>
    </font>
    <font>
      <b/>
      <sz val="10"/>
      <color theme="0"/>
      <name val="BIZ UDゴシック"/>
      <family val="3"/>
      <charset val="128"/>
    </font>
    <font>
      <sz val="10"/>
      <color rgb="FF006100"/>
      <name val="BIZ UDゴシック"/>
      <family val="3"/>
      <charset val="128"/>
    </font>
    <font>
      <sz val="10"/>
      <color theme="0" tint="-0.14996795556505021"/>
      <name val="BIZ UDゴシック"/>
      <family val="3"/>
      <charset val="128"/>
    </font>
    <font>
      <sz val="10"/>
      <color rgb="FF990000"/>
      <name val="BIZ UDゴシック"/>
      <family val="3"/>
      <charset val="128"/>
    </font>
  </fonts>
  <fills count="1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A5A5A5"/>
      </patternFill>
    </fill>
    <fill>
      <patternFill patternType="solid">
        <fgColor rgb="FF66CCFF"/>
        <bgColor indexed="64"/>
      </patternFill>
    </fill>
    <fill>
      <patternFill patternType="solid">
        <fgColor rgb="FFCD5C5C"/>
        <bgColor indexed="64"/>
      </patternFill>
    </fill>
    <fill>
      <patternFill patternType="solid">
        <fgColor rgb="FFFAFAD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/>
      <bottom style="thin">
        <color auto="1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3" borderId="0" applyNumberFormat="0" applyBorder="0" applyAlignment="0" applyProtection="0">
      <alignment vertical="center"/>
    </xf>
    <xf numFmtId="0" fontId="4" fillId="6" borderId="1" applyNumberFormat="0" applyAlignment="0" applyProtection="0">
      <alignment vertical="center"/>
    </xf>
  </cellStyleXfs>
  <cellXfs count="57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left" vertical="top"/>
    </xf>
    <xf numFmtId="0" fontId="5" fillId="5" borderId="0" xfId="0" applyFont="1" applyFill="1">
      <alignment vertical="center"/>
    </xf>
    <xf numFmtId="0" fontId="8" fillId="10" borderId="1" xfId="3" applyFont="1" applyFill="1" applyAlignment="1">
      <alignment horizontal="left" vertical="top"/>
    </xf>
    <xf numFmtId="0" fontId="8" fillId="10" borderId="1" xfId="3" applyFont="1" applyFill="1" applyAlignment="1">
      <alignment vertical="top"/>
    </xf>
    <xf numFmtId="0" fontId="8" fillId="11" borderId="1" xfId="3" applyFont="1" applyFill="1" applyAlignment="1">
      <alignment vertical="top"/>
    </xf>
    <xf numFmtId="0" fontId="8" fillId="11" borderId="1" xfId="3" applyFont="1" applyFill="1" applyAlignment="1">
      <alignment horizontal="right"/>
    </xf>
    <xf numFmtId="0" fontId="8" fillId="11" borderId="1" xfId="3" applyFont="1" applyFill="1" applyAlignment="1">
      <alignment horizontal="left" vertical="top"/>
    </xf>
    <xf numFmtId="0" fontId="5" fillId="0" borderId="0" xfId="0" applyFont="1" applyAlignment="1">
      <alignment horizontal="left" vertical="top" wrapText="1"/>
    </xf>
    <xf numFmtId="0" fontId="5" fillId="4" borderId="0" xfId="0" applyFont="1" applyFill="1">
      <alignment vertical="center"/>
    </xf>
    <xf numFmtId="0" fontId="9" fillId="2" borderId="0" xfId="1" applyFont="1">
      <alignment vertical="center"/>
    </xf>
    <xf numFmtId="0" fontId="5" fillId="3" borderId="10" xfId="2" applyFont="1" applyBorder="1">
      <alignment vertical="center"/>
    </xf>
    <xf numFmtId="0" fontId="10" fillId="0" borderId="0" xfId="0" applyFont="1" applyFill="1" applyBorder="1">
      <alignment vertical="center"/>
    </xf>
    <xf numFmtId="0" fontId="11" fillId="10" borderId="1" xfId="3" applyFont="1" applyFill="1" applyAlignment="1">
      <alignment horizontal="left" vertical="top"/>
    </xf>
    <xf numFmtId="0" fontId="11" fillId="10" borderId="1" xfId="3" applyFont="1" applyFill="1" applyAlignment="1">
      <alignment vertical="top"/>
    </xf>
    <xf numFmtId="0" fontId="11" fillId="11" borderId="1" xfId="3" applyFont="1" applyFill="1" applyAlignment="1">
      <alignment vertical="top"/>
    </xf>
    <xf numFmtId="0" fontId="11" fillId="11" borderId="1" xfId="3" applyFont="1" applyFill="1" applyAlignment="1">
      <alignment horizontal="right"/>
    </xf>
    <xf numFmtId="0" fontId="11" fillId="11" borderId="1" xfId="3" applyFont="1" applyFill="1" applyAlignment="1">
      <alignment horizontal="left" vertical="top"/>
    </xf>
    <xf numFmtId="0" fontId="10" fillId="0" borderId="0" xfId="0" applyFont="1" applyAlignment="1">
      <alignment horizontal="left" vertical="top" wrapText="1"/>
    </xf>
    <xf numFmtId="0" fontId="10" fillId="0" borderId="0" xfId="0" applyFont="1" applyAlignment="1">
      <alignment horizontal="left" vertical="top"/>
    </xf>
    <xf numFmtId="0" fontId="10" fillId="5" borderId="0" xfId="0" applyFont="1" applyFill="1">
      <alignment vertical="center"/>
    </xf>
    <xf numFmtId="0" fontId="10" fillId="4" borderId="0" xfId="0" applyFont="1" applyFill="1">
      <alignment vertical="center"/>
    </xf>
    <xf numFmtId="0" fontId="12" fillId="2" borderId="0" xfId="1" applyFont="1">
      <alignment vertical="center"/>
    </xf>
    <xf numFmtId="0" fontId="10" fillId="3" borderId="10" xfId="2" applyFont="1" applyBorder="1">
      <alignment vertical="center"/>
    </xf>
    <xf numFmtId="0" fontId="10" fillId="0" borderId="0" xfId="0" applyFont="1">
      <alignment vertical="center"/>
    </xf>
    <xf numFmtId="0" fontId="10" fillId="13" borderId="3" xfId="0" applyFont="1" applyFill="1" applyBorder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  <xf numFmtId="0" fontId="10" fillId="0" borderId="11" xfId="0" applyFont="1" applyFill="1" applyBorder="1">
      <alignment vertical="center"/>
    </xf>
    <xf numFmtId="0" fontId="10" fillId="12" borderId="9" xfId="0" applyFont="1" applyFill="1" applyBorder="1">
      <alignment vertical="center"/>
    </xf>
    <xf numFmtId="0" fontId="10" fillId="7" borderId="9" xfId="0" applyFont="1" applyFill="1" applyBorder="1">
      <alignment vertical="center"/>
    </xf>
    <xf numFmtId="0" fontId="10" fillId="0" borderId="9" xfId="0" applyFont="1" applyFill="1" applyBorder="1">
      <alignment vertical="center"/>
    </xf>
    <xf numFmtId="0" fontId="10" fillId="7" borderId="11" xfId="0" applyFont="1" applyFill="1" applyBorder="1">
      <alignment vertical="center"/>
    </xf>
    <xf numFmtId="0" fontId="10" fillId="7" borderId="6" xfId="0" applyFont="1" applyFill="1" applyBorder="1">
      <alignment vertical="center"/>
    </xf>
    <xf numFmtId="0" fontId="10" fillId="7" borderId="7" xfId="0" applyFont="1" applyFill="1" applyBorder="1">
      <alignment vertical="center"/>
    </xf>
    <xf numFmtId="0" fontId="10" fillId="7" borderId="8" xfId="0" applyFont="1" applyFill="1" applyBorder="1">
      <alignment vertical="center"/>
    </xf>
    <xf numFmtId="0" fontId="10" fillId="12" borderId="6" xfId="0" applyFont="1" applyFill="1" applyBorder="1">
      <alignment vertical="center"/>
    </xf>
    <xf numFmtId="0" fontId="10" fillId="7" borderId="12" xfId="0" applyFont="1" applyFill="1" applyBorder="1">
      <alignment vertical="center"/>
    </xf>
    <xf numFmtId="0" fontId="10" fillId="7" borderId="5" xfId="0" applyFont="1" applyFill="1" applyBorder="1">
      <alignment vertical="center"/>
    </xf>
    <xf numFmtId="0" fontId="10" fillId="7" borderId="3" xfId="0" applyFont="1" applyFill="1" applyBorder="1" applyAlignment="1">
      <alignment vertical="center" textRotation="255"/>
    </xf>
    <xf numFmtId="0" fontId="10" fillId="8" borderId="9" xfId="0" applyFont="1" applyFill="1" applyBorder="1">
      <alignment vertical="center"/>
    </xf>
    <xf numFmtId="0" fontId="10" fillId="8" borderId="8" xfId="0" applyFont="1" applyFill="1" applyBorder="1">
      <alignment vertical="center"/>
    </xf>
    <xf numFmtId="0" fontId="10" fillId="0" borderId="9" xfId="0" applyFont="1" applyBorder="1">
      <alignment vertical="center"/>
    </xf>
    <xf numFmtId="0" fontId="13" fillId="0" borderId="0" xfId="0" applyFont="1" applyFill="1" applyBorder="1">
      <alignment vertical="center"/>
    </xf>
    <xf numFmtId="0" fontId="10" fillId="13" borderId="9" xfId="0" applyFont="1" applyFill="1" applyBorder="1">
      <alignment vertical="center"/>
    </xf>
    <xf numFmtId="0" fontId="10" fillId="0" borderId="0" xfId="0" applyFont="1" applyBorder="1">
      <alignment vertical="center"/>
    </xf>
    <xf numFmtId="0" fontId="10" fillId="0" borderId="6" xfId="0" applyFont="1" applyBorder="1">
      <alignment vertical="center"/>
    </xf>
    <xf numFmtId="0" fontId="10" fillId="9" borderId="9" xfId="0" applyFont="1" applyFill="1" applyBorder="1">
      <alignment vertical="center"/>
    </xf>
    <xf numFmtId="0" fontId="10" fillId="9" borderId="12" xfId="0" applyFont="1" applyFill="1" applyBorder="1">
      <alignment vertical="center"/>
    </xf>
    <xf numFmtId="0" fontId="10" fillId="7" borderId="5" xfId="0" applyFont="1" applyFill="1" applyBorder="1">
      <alignment vertical="center"/>
    </xf>
    <xf numFmtId="0" fontId="10" fillId="7" borderId="6" xfId="0" applyFont="1" applyFill="1" applyBorder="1">
      <alignment vertical="center"/>
    </xf>
    <xf numFmtId="0" fontId="10" fillId="7" borderId="7" xfId="0" applyFont="1" applyFill="1" applyBorder="1">
      <alignment vertical="center"/>
    </xf>
    <xf numFmtId="0" fontId="10" fillId="7" borderId="8" xfId="0" applyFont="1" applyFill="1" applyBorder="1">
      <alignment vertical="center"/>
    </xf>
    <xf numFmtId="0" fontId="10" fillId="7" borderId="2" xfId="0" applyFont="1" applyFill="1" applyBorder="1">
      <alignment vertical="center"/>
    </xf>
    <xf numFmtId="0" fontId="10" fillId="7" borderId="4" xfId="0" applyFont="1" applyFill="1" applyBorder="1">
      <alignment vertical="center"/>
    </xf>
    <xf numFmtId="0" fontId="14" fillId="7" borderId="3" xfId="0" applyFont="1" applyFill="1" applyBorder="1" applyAlignment="1">
      <alignment vertical="center" textRotation="255"/>
    </xf>
  </cellXfs>
  <cellStyles count="4">
    <cellStyle name="40% - アクセント 3" xfId="2" builtinId="39"/>
    <cellStyle name="チェック セル" xfId="3" builtinId="23"/>
    <cellStyle name="標準" xfId="0" builtinId="0"/>
    <cellStyle name="良い" xfId="1" builtinId="26"/>
  </cellStyles>
  <dxfs count="0"/>
  <tableStyles count="0" defaultTableStyle="TableStyleMedium2" defaultPivotStyle="PivotStyleLight16"/>
  <colors>
    <mruColors>
      <color rgb="FF66CCFF"/>
      <color rgb="FF990000"/>
      <color rgb="FFFF0000"/>
      <color rgb="FF800000"/>
      <color rgb="FF33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66675</xdr:colOff>
          <xdr:row>0</xdr:row>
          <xdr:rowOff>57150</xdr:rowOff>
        </xdr:from>
        <xdr:to>
          <xdr:col>13</xdr:col>
          <xdr:colOff>352425</xdr:colOff>
          <xdr:row>18</xdr:row>
          <xdr:rowOff>47625</xdr:rowOff>
        </xdr:to>
        <xdr:sp macro="" textlink="">
          <xdr:nvSpPr>
            <xdr:cNvPr id="1050" name="Button 26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76200</xdr:rowOff>
        </xdr:from>
        <xdr:to>
          <xdr:col>9</xdr:col>
          <xdr:colOff>304800</xdr:colOff>
          <xdr:row>1</xdr:row>
          <xdr:rowOff>400050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0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57150</xdr:colOff>
          <xdr:row>0</xdr:row>
          <xdr:rowOff>76200</xdr:rowOff>
        </xdr:from>
        <xdr:to>
          <xdr:col>9</xdr:col>
          <xdr:colOff>304800</xdr:colOff>
          <xdr:row>0</xdr:row>
          <xdr:rowOff>400050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点数入力シート作成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メイリオ"/>
                <a:ea typeface="メイリオ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10</xdr:col>
          <xdr:colOff>381000</xdr:colOff>
          <xdr:row>0</xdr:row>
          <xdr:rowOff>57150</xdr:rowOff>
        </xdr:from>
        <xdr:to>
          <xdr:col>12</xdr:col>
          <xdr:colOff>666750</xdr:colOff>
          <xdr:row>0</xdr:row>
          <xdr:rowOff>390525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90000" tIns="46800" rIns="90000" bIns="46800" anchor="ctr" upright="1"/>
            <a:lstStyle/>
            <a:p>
              <a:pPr algn="just" rtl="0">
                <a:defRPr sz="1000"/>
              </a:pPr>
              <a:r>
                <a:rPr lang="ja-JP" altLang="en-US" sz="1000" b="0" i="0" u="none" strike="noStrike" baseline="0">
                  <a:solidFill>
                    <a:srgbClr val="000000"/>
                  </a:solidFill>
                  <a:latin typeface="メイリオ"/>
                  <a:ea typeface="メイリオ"/>
                </a:rPr>
                <a:t>採点基準設定シート作成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C05E39-24A5-440D-928B-0D42D937CDEC}">
  <sheetPr codeName="Sheet1" filterMode="1"/>
  <dimension ref="A1:G38"/>
  <sheetViews>
    <sheetView zoomScaleNormal="100" workbookViewId="0">
      <pane xSplit="2" ySplit="1" topLeftCell="C2" activePane="bottomRight" state="frozen"/>
      <selection pane="topRight" activeCell="C1" sqref="C1"/>
      <selection pane="bottomLeft" activeCell="A5" sqref="A5"/>
      <selection pane="bottomRight" activeCell="A3" sqref="A3:B35"/>
    </sheetView>
  </sheetViews>
  <sheetFormatPr defaultRowHeight="12" x14ac:dyDescent="0.4"/>
  <cols>
    <col min="1" max="1" width="10.875" style="25" customWidth="1"/>
    <col min="2" max="3" width="15.75" style="25" customWidth="1"/>
    <col min="4" max="4" width="18.75" style="25" customWidth="1"/>
    <col min="5" max="5" width="29.25" style="25" customWidth="1"/>
    <col min="6" max="6" width="28.75" style="25" customWidth="1"/>
    <col min="7" max="7" width="27.5" style="25" customWidth="1"/>
    <col min="8" max="16384" width="9" style="25"/>
  </cols>
  <sheetData>
    <row r="1" spans="1:7" s="20" customFormat="1" ht="35.25" customHeight="1" thickTop="1" thickBot="1" x14ac:dyDescent="0.2">
      <c r="A1" s="14" t="s">
        <v>28</v>
      </c>
      <c r="B1" s="15"/>
      <c r="C1" s="16" t="s">
        <v>33</v>
      </c>
      <c r="D1" s="17" t="s">
        <v>34</v>
      </c>
      <c r="E1" s="18"/>
      <c r="F1" s="19" t="s">
        <v>13</v>
      </c>
      <c r="G1" s="19" t="s">
        <v>14</v>
      </c>
    </row>
    <row r="2" spans="1:7" ht="12.75" thickTop="1" x14ac:dyDescent="0.4">
      <c r="A2" s="21" t="s">
        <v>1</v>
      </c>
      <c r="B2" s="21" t="s">
        <v>20</v>
      </c>
      <c r="C2" s="22" t="s">
        <v>0</v>
      </c>
      <c r="D2" s="22" t="s">
        <v>3</v>
      </c>
      <c r="E2" s="22" t="s">
        <v>19</v>
      </c>
      <c r="F2" s="23" t="s">
        <v>29</v>
      </c>
      <c r="G2" s="24" t="s">
        <v>30</v>
      </c>
    </row>
    <row r="3" spans="1:7" hidden="1" x14ac:dyDescent="0.4">
      <c r="A3" s="13">
        <v>1</v>
      </c>
      <c r="B3" s="13" t="s">
        <v>2</v>
      </c>
      <c r="C3" s="13" t="s">
        <v>6</v>
      </c>
      <c r="D3" s="13" t="s">
        <v>4</v>
      </c>
      <c r="E3" s="13" t="s">
        <v>15</v>
      </c>
      <c r="F3" s="25" t="s">
        <v>4</v>
      </c>
      <c r="G3" s="25" t="s">
        <v>12</v>
      </c>
    </row>
    <row r="4" spans="1:7" hidden="1" x14ac:dyDescent="0.4">
      <c r="A4" s="13">
        <v>2</v>
      </c>
      <c r="B4" s="13" t="s">
        <v>2</v>
      </c>
      <c r="C4" s="13" t="s">
        <v>6</v>
      </c>
      <c r="D4" s="13" t="s">
        <v>4</v>
      </c>
      <c r="E4" s="13" t="s">
        <v>5</v>
      </c>
      <c r="F4" s="25" t="s">
        <v>10</v>
      </c>
    </row>
    <row r="5" spans="1:7" hidden="1" x14ac:dyDescent="0.4">
      <c r="A5" s="13">
        <v>3</v>
      </c>
      <c r="B5" s="13" t="s">
        <v>2</v>
      </c>
      <c r="C5" s="13" t="s">
        <v>6</v>
      </c>
      <c r="D5" s="13" t="s">
        <v>4</v>
      </c>
      <c r="E5" s="13" t="s">
        <v>7</v>
      </c>
      <c r="F5" s="25" t="s">
        <v>18</v>
      </c>
    </row>
    <row r="6" spans="1:7" hidden="1" x14ac:dyDescent="0.4">
      <c r="A6" s="13">
        <v>4</v>
      </c>
      <c r="B6" s="13" t="s">
        <v>2</v>
      </c>
      <c r="C6" s="13" t="s">
        <v>6</v>
      </c>
      <c r="D6" s="13" t="s">
        <v>4</v>
      </c>
      <c r="E6" s="13" t="s">
        <v>16</v>
      </c>
    </row>
    <row r="7" spans="1:7" hidden="1" x14ac:dyDescent="0.4">
      <c r="A7" s="13">
        <v>5</v>
      </c>
      <c r="B7" s="13" t="s">
        <v>2</v>
      </c>
      <c r="C7" s="13" t="s">
        <v>6</v>
      </c>
      <c r="D7" s="13" t="s">
        <v>4</v>
      </c>
      <c r="E7" s="13" t="s">
        <v>8</v>
      </c>
    </row>
    <row r="8" spans="1:7" hidden="1" x14ac:dyDescent="0.4">
      <c r="A8" s="13">
        <v>6</v>
      </c>
      <c r="B8" s="13" t="s">
        <v>2</v>
      </c>
      <c r="C8" s="13" t="s">
        <v>6</v>
      </c>
      <c r="D8" s="13" t="s">
        <v>9</v>
      </c>
      <c r="E8" s="13" t="s">
        <v>15</v>
      </c>
    </row>
    <row r="9" spans="1:7" hidden="1" x14ac:dyDescent="0.4">
      <c r="A9" s="13">
        <v>7</v>
      </c>
      <c r="B9" s="13" t="s">
        <v>2</v>
      </c>
      <c r="C9" s="13" t="s">
        <v>6</v>
      </c>
      <c r="D9" s="13" t="s">
        <v>9</v>
      </c>
      <c r="E9" s="13" t="s">
        <v>7</v>
      </c>
    </row>
    <row r="10" spans="1:7" hidden="1" x14ac:dyDescent="0.4">
      <c r="A10" s="13">
        <v>8</v>
      </c>
      <c r="B10" s="13" t="s">
        <v>2</v>
      </c>
      <c r="C10" s="13" t="s">
        <v>6</v>
      </c>
      <c r="D10" s="13" t="s">
        <v>9</v>
      </c>
      <c r="E10" s="13" t="s">
        <v>5</v>
      </c>
    </row>
    <row r="11" spans="1:7" hidden="1" x14ac:dyDescent="0.4">
      <c r="A11" s="13">
        <v>9</v>
      </c>
      <c r="B11" s="13" t="s">
        <v>2</v>
      </c>
      <c r="C11" s="13" t="s">
        <v>6</v>
      </c>
      <c r="D11" s="13" t="s">
        <v>9</v>
      </c>
      <c r="E11" s="13" t="s">
        <v>7</v>
      </c>
    </row>
    <row r="12" spans="1:7" hidden="1" x14ac:dyDescent="0.4">
      <c r="A12" s="13">
        <v>10</v>
      </c>
      <c r="B12" s="13" t="s">
        <v>2</v>
      </c>
      <c r="C12" s="13" t="s">
        <v>6</v>
      </c>
      <c r="D12" s="13" t="s">
        <v>9</v>
      </c>
      <c r="E12" s="13" t="s">
        <v>27</v>
      </c>
    </row>
    <row r="13" spans="1:7" hidden="1" x14ac:dyDescent="0.4">
      <c r="A13" s="13">
        <v>11</v>
      </c>
      <c r="B13" s="13" t="s">
        <v>2</v>
      </c>
      <c r="C13" s="13" t="s">
        <v>6</v>
      </c>
      <c r="D13" s="13" t="s">
        <v>9</v>
      </c>
      <c r="E13" s="13" t="s">
        <v>8</v>
      </c>
    </row>
    <row r="14" spans="1:7" x14ac:dyDescent="0.4">
      <c r="A14" s="13">
        <v>12</v>
      </c>
      <c r="B14" s="13" t="s">
        <v>2</v>
      </c>
      <c r="C14" s="13" t="s">
        <v>6</v>
      </c>
      <c r="D14" s="13" t="s">
        <v>18</v>
      </c>
      <c r="E14" s="13" t="s">
        <v>15</v>
      </c>
    </row>
    <row r="15" spans="1:7" x14ac:dyDescent="0.4">
      <c r="A15" s="13">
        <v>13</v>
      </c>
      <c r="B15" s="13" t="s">
        <v>2</v>
      </c>
      <c r="C15" s="13" t="s">
        <v>6</v>
      </c>
      <c r="D15" s="13" t="s">
        <v>18</v>
      </c>
      <c r="E15" s="13" t="s">
        <v>7</v>
      </c>
    </row>
    <row r="16" spans="1:7" x14ac:dyDescent="0.4">
      <c r="A16" s="13">
        <v>14</v>
      </c>
      <c r="B16" s="13" t="s">
        <v>2</v>
      </c>
      <c r="C16" s="13" t="s">
        <v>6</v>
      </c>
      <c r="D16" s="13" t="s">
        <v>18</v>
      </c>
      <c r="E16" s="13" t="s">
        <v>5</v>
      </c>
    </row>
    <row r="17" spans="1:5" x14ac:dyDescent="0.4">
      <c r="A17" s="13">
        <v>14</v>
      </c>
      <c r="B17" s="13" t="s">
        <v>2</v>
      </c>
      <c r="C17" s="13" t="s">
        <v>6</v>
      </c>
      <c r="D17" s="13" t="s">
        <v>18</v>
      </c>
      <c r="E17" s="13" t="s">
        <v>7</v>
      </c>
    </row>
    <row r="18" spans="1:5" x14ac:dyDescent="0.4">
      <c r="A18" s="13">
        <v>14</v>
      </c>
      <c r="B18" s="13" t="s">
        <v>2</v>
      </c>
      <c r="C18" s="13" t="s">
        <v>6</v>
      </c>
      <c r="D18" s="13" t="s">
        <v>18</v>
      </c>
      <c r="E18" s="13" t="s">
        <v>17</v>
      </c>
    </row>
    <row r="19" spans="1:5" x14ac:dyDescent="0.4">
      <c r="A19" s="13">
        <v>14</v>
      </c>
      <c r="B19" s="13" t="s">
        <v>2</v>
      </c>
      <c r="C19" s="13" t="s">
        <v>6</v>
      </c>
      <c r="D19" s="13" t="s">
        <v>18</v>
      </c>
      <c r="E19" s="13" t="s">
        <v>16</v>
      </c>
    </row>
    <row r="20" spans="1:5" x14ac:dyDescent="0.4">
      <c r="A20" s="13">
        <v>14</v>
      </c>
      <c r="B20" s="13" t="s">
        <v>2</v>
      </c>
      <c r="C20" s="13" t="s">
        <v>6</v>
      </c>
      <c r="D20" s="13" t="s">
        <v>18</v>
      </c>
      <c r="E20" s="13" t="s">
        <v>8</v>
      </c>
    </row>
    <row r="21" spans="1:5" hidden="1" x14ac:dyDescent="0.4">
      <c r="A21" s="13">
        <v>14</v>
      </c>
      <c r="B21" s="13" t="s">
        <v>2</v>
      </c>
      <c r="C21" s="13" t="s">
        <v>11</v>
      </c>
      <c r="D21" s="13" t="s">
        <v>4</v>
      </c>
      <c r="E21" s="13" t="s">
        <v>15</v>
      </c>
    </row>
    <row r="22" spans="1:5" hidden="1" x14ac:dyDescent="0.4">
      <c r="A22" s="13">
        <v>14</v>
      </c>
      <c r="B22" s="13" t="s">
        <v>2</v>
      </c>
      <c r="C22" s="13" t="s">
        <v>11</v>
      </c>
      <c r="D22" s="13" t="s">
        <v>4</v>
      </c>
      <c r="E22" s="13" t="s">
        <v>5</v>
      </c>
    </row>
    <row r="23" spans="1:5" hidden="1" x14ac:dyDescent="0.4">
      <c r="A23" s="13">
        <v>14</v>
      </c>
      <c r="B23" s="13" t="s">
        <v>2</v>
      </c>
      <c r="C23" s="13" t="s">
        <v>11</v>
      </c>
      <c r="D23" s="13" t="s">
        <v>4</v>
      </c>
      <c r="E23" s="13" t="s">
        <v>7</v>
      </c>
    </row>
    <row r="24" spans="1:5" hidden="1" x14ac:dyDescent="0.4">
      <c r="A24" s="13">
        <v>14</v>
      </c>
      <c r="B24" s="13" t="s">
        <v>2</v>
      </c>
      <c r="C24" s="13" t="s">
        <v>11</v>
      </c>
      <c r="D24" s="13" t="s">
        <v>4</v>
      </c>
      <c r="E24" s="13" t="s">
        <v>16</v>
      </c>
    </row>
    <row r="25" spans="1:5" hidden="1" x14ac:dyDescent="0.4">
      <c r="A25" s="13">
        <v>14</v>
      </c>
      <c r="B25" s="13" t="s">
        <v>2</v>
      </c>
      <c r="C25" s="13" t="s">
        <v>11</v>
      </c>
      <c r="D25" s="13" t="s">
        <v>4</v>
      </c>
      <c r="E25" s="13" t="s">
        <v>8</v>
      </c>
    </row>
    <row r="26" spans="1:5" hidden="1" x14ac:dyDescent="0.4">
      <c r="A26" s="13">
        <v>14</v>
      </c>
      <c r="B26" s="13" t="s">
        <v>2</v>
      </c>
      <c r="C26" s="13" t="s">
        <v>11</v>
      </c>
      <c r="D26" s="13" t="s">
        <v>9</v>
      </c>
      <c r="E26" s="13" t="s">
        <v>15</v>
      </c>
    </row>
    <row r="27" spans="1:5" hidden="1" x14ac:dyDescent="0.4">
      <c r="A27" s="13">
        <v>14</v>
      </c>
      <c r="B27" s="13" t="s">
        <v>2</v>
      </c>
      <c r="C27" s="13" t="s">
        <v>11</v>
      </c>
      <c r="D27" s="13" t="s">
        <v>9</v>
      </c>
      <c r="E27" s="13" t="s">
        <v>7</v>
      </c>
    </row>
    <row r="28" spans="1:5" hidden="1" x14ac:dyDescent="0.4">
      <c r="A28" s="13">
        <v>14</v>
      </c>
      <c r="B28" s="13" t="s">
        <v>2</v>
      </c>
      <c r="C28" s="13" t="s">
        <v>11</v>
      </c>
      <c r="D28" s="13" t="s">
        <v>9</v>
      </c>
      <c r="E28" s="13" t="s">
        <v>5</v>
      </c>
    </row>
    <row r="29" spans="1:5" hidden="1" x14ac:dyDescent="0.4">
      <c r="A29" s="13">
        <v>14</v>
      </c>
      <c r="B29" s="26"/>
      <c r="C29" s="13" t="s">
        <v>11</v>
      </c>
      <c r="D29" s="13" t="s">
        <v>9</v>
      </c>
      <c r="E29" s="13" t="s">
        <v>7</v>
      </c>
    </row>
    <row r="30" spans="1:5" hidden="1" x14ac:dyDescent="0.4">
      <c r="A30" s="13">
        <v>14</v>
      </c>
      <c r="B30" s="13" t="s">
        <v>2</v>
      </c>
      <c r="C30" s="13" t="s">
        <v>11</v>
      </c>
      <c r="D30" s="13" t="s">
        <v>9</v>
      </c>
      <c r="E30" s="13" t="s">
        <v>17</v>
      </c>
    </row>
    <row r="31" spans="1:5" hidden="1" x14ac:dyDescent="0.4">
      <c r="A31" s="13">
        <v>14</v>
      </c>
      <c r="B31" s="13" t="s">
        <v>2</v>
      </c>
      <c r="C31" s="13" t="s">
        <v>11</v>
      </c>
      <c r="D31" s="13" t="s">
        <v>9</v>
      </c>
      <c r="E31" s="13" t="s">
        <v>8</v>
      </c>
    </row>
    <row r="32" spans="1:5" hidden="1" x14ac:dyDescent="0.4">
      <c r="A32" s="13">
        <v>14</v>
      </c>
      <c r="B32" s="13" t="s">
        <v>2</v>
      </c>
      <c r="C32" s="13" t="s">
        <v>11</v>
      </c>
      <c r="D32" s="13" t="s">
        <v>18</v>
      </c>
      <c r="E32" s="13" t="s">
        <v>15</v>
      </c>
    </row>
    <row r="33" spans="1:5" hidden="1" x14ac:dyDescent="0.4">
      <c r="A33" s="13">
        <v>14</v>
      </c>
      <c r="B33" s="13" t="s">
        <v>2</v>
      </c>
      <c r="C33" s="13" t="s">
        <v>11</v>
      </c>
      <c r="D33" s="13" t="s">
        <v>18</v>
      </c>
      <c r="E33" s="13" t="s">
        <v>7</v>
      </c>
    </row>
    <row r="34" spans="1:5" hidden="1" x14ac:dyDescent="0.4">
      <c r="A34" s="13">
        <v>14</v>
      </c>
      <c r="B34" s="26"/>
      <c r="C34" s="13" t="s">
        <v>11</v>
      </c>
      <c r="D34" s="13" t="s">
        <v>18</v>
      </c>
      <c r="E34" s="13" t="s">
        <v>5</v>
      </c>
    </row>
    <row r="35" spans="1:5" hidden="1" x14ac:dyDescent="0.4">
      <c r="A35" s="13">
        <v>14</v>
      </c>
      <c r="B35" s="13" t="s">
        <v>2</v>
      </c>
      <c r="C35" s="13" t="s">
        <v>11</v>
      </c>
      <c r="D35" s="13" t="s">
        <v>18</v>
      </c>
      <c r="E35" s="13" t="s">
        <v>7</v>
      </c>
    </row>
    <row r="36" spans="1:5" hidden="1" x14ac:dyDescent="0.4">
      <c r="C36" s="13" t="s">
        <v>11</v>
      </c>
      <c r="D36" s="13" t="s">
        <v>18</v>
      </c>
      <c r="E36" s="13" t="s">
        <v>17</v>
      </c>
    </row>
    <row r="37" spans="1:5" hidden="1" x14ac:dyDescent="0.4">
      <c r="C37" s="13" t="s">
        <v>11</v>
      </c>
      <c r="D37" s="13" t="s">
        <v>18</v>
      </c>
      <c r="E37" s="13" t="s">
        <v>16</v>
      </c>
    </row>
    <row r="38" spans="1:5" hidden="1" x14ac:dyDescent="0.4">
      <c r="C38" s="13" t="s">
        <v>11</v>
      </c>
      <c r="D38" s="13" t="s">
        <v>18</v>
      </c>
      <c r="E38" s="13" t="s">
        <v>8</v>
      </c>
    </row>
  </sheetData>
  <autoFilter ref="A2:G38" xr:uid="{90C05E39-24A5-440D-928B-0D42D937CDEC}">
    <filterColumn colId="2">
      <filters>
        <filter val="国語"/>
      </filters>
    </filterColumn>
    <filterColumn colId="3">
      <filters>
        <filter val="主体的に学習に取り組む態度"/>
      </filters>
    </filterColumn>
  </autoFilter>
  <dataConsolidate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50" r:id="rId4" name="Button 26">
              <controlPr defaultSize="0" print="0" autoFill="0" autoPict="0" macro="[0]!start2">
                <anchor>
                  <from>
                    <xdr:col>11</xdr:col>
                    <xdr:colOff>66675</xdr:colOff>
                    <xdr:row>0</xdr:row>
                    <xdr:rowOff>57150</xdr:rowOff>
                  </from>
                  <to>
                    <xdr:col>13</xdr:col>
                    <xdr:colOff>352425</xdr:colOff>
                    <xdr:row>18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5" name="Button 33">
              <controlPr defaultSize="0" print="0" autoFill="0" autoPict="0" macro="[0]!start">
                <anchor moveWithCells="1" sizeWithCells="1">
                  <from>
                    <xdr:col>7</xdr:col>
                    <xdr:colOff>57150</xdr:colOff>
                    <xdr:row>0</xdr:row>
                    <xdr:rowOff>76200</xdr:rowOff>
                  </from>
                  <to>
                    <xdr:col>9</xdr:col>
                    <xdr:colOff>304800</xdr:colOff>
                    <xdr:row>1</xdr:row>
                    <xdr:rowOff>400050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A0FE0E-9558-45A4-B999-14BF37F2E0C1}">
  <sheetPr codeName="Sheet2"/>
  <dimension ref="A1:G38"/>
  <sheetViews>
    <sheetView zoomScaleNormal="100" workbookViewId="0">
      <selection activeCell="C28" sqref="C28"/>
    </sheetView>
  </sheetViews>
  <sheetFormatPr defaultRowHeight="14.25" x14ac:dyDescent="0.4"/>
  <cols>
    <col min="1" max="1" width="10.875" style="1" customWidth="1"/>
    <col min="2" max="3" width="15.75" style="1" customWidth="1"/>
    <col min="4" max="4" width="18.75" style="1" customWidth="1"/>
    <col min="5" max="5" width="29.25" style="1" customWidth="1"/>
    <col min="6" max="6" width="28.75" style="1" customWidth="1"/>
    <col min="7" max="7" width="27.5" style="1" customWidth="1"/>
    <col min="8" max="16384" width="9" style="1"/>
  </cols>
  <sheetData>
    <row r="1" spans="1:7" s="2" customFormat="1" ht="35.25" customHeight="1" thickTop="1" thickBot="1" x14ac:dyDescent="0.3">
      <c r="A1" s="4" t="s">
        <v>28</v>
      </c>
      <c r="B1" s="5"/>
      <c r="C1" s="6" t="s">
        <v>33</v>
      </c>
      <c r="D1" s="7" t="s">
        <v>34</v>
      </c>
      <c r="E1" s="8"/>
      <c r="F1" s="9" t="s">
        <v>13</v>
      </c>
      <c r="G1" s="9" t="s">
        <v>14</v>
      </c>
    </row>
    <row r="2" spans="1:7" ht="15" thickTop="1" x14ac:dyDescent="0.4">
      <c r="A2" s="3" t="s">
        <v>1</v>
      </c>
      <c r="B2" s="3" t="s">
        <v>20</v>
      </c>
      <c r="C2" s="10" t="s">
        <v>0</v>
      </c>
      <c r="D2" s="10" t="s">
        <v>3</v>
      </c>
      <c r="E2" s="10" t="s">
        <v>19</v>
      </c>
      <c r="F2" s="11" t="s">
        <v>29</v>
      </c>
      <c r="G2" s="12" t="s">
        <v>30</v>
      </c>
    </row>
    <row r="3" spans="1:7" x14ac:dyDescent="0.4">
      <c r="A3" s="1">
        <v>1</v>
      </c>
      <c r="B3" s="1" t="s">
        <v>2</v>
      </c>
      <c r="C3" s="1" t="s">
        <v>6</v>
      </c>
      <c r="D3" s="1" t="s">
        <v>4</v>
      </c>
      <c r="E3" s="1" t="s">
        <v>15</v>
      </c>
      <c r="F3" s="1" t="s">
        <v>4</v>
      </c>
      <c r="G3" s="1" t="s">
        <v>12</v>
      </c>
    </row>
    <row r="4" spans="1:7" x14ac:dyDescent="0.4">
      <c r="A4" s="1">
        <v>2</v>
      </c>
      <c r="B4" s="1" t="s">
        <v>2</v>
      </c>
      <c r="C4" s="1" t="s">
        <v>6</v>
      </c>
      <c r="D4" s="1" t="s">
        <v>4</v>
      </c>
      <c r="E4" s="1" t="s">
        <v>5</v>
      </c>
      <c r="F4" s="1" t="s">
        <v>10</v>
      </c>
    </row>
    <row r="5" spans="1:7" x14ac:dyDescent="0.4">
      <c r="A5" s="1">
        <v>3</v>
      </c>
      <c r="B5" s="1" t="s">
        <v>2</v>
      </c>
      <c r="C5" s="1" t="s">
        <v>6</v>
      </c>
      <c r="D5" s="1" t="s">
        <v>4</v>
      </c>
      <c r="E5" s="1" t="s">
        <v>7</v>
      </c>
      <c r="F5" s="1" t="s">
        <v>18</v>
      </c>
    </row>
    <row r="6" spans="1:7" x14ac:dyDescent="0.4">
      <c r="A6" s="1">
        <v>4</v>
      </c>
      <c r="B6" s="1" t="s">
        <v>2</v>
      </c>
      <c r="C6" s="1" t="s">
        <v>6</v>
      </c>
      <c r="D6" s="1" t="s">
        <v>4</v>
      </c>
      <c r="E6" s="1" t="s">
        <v>16</v>
      </c>
    </row>
    <row r="7" spans="1:7" x14ac:dyDescent="0.4">
      <c r="A7" s="1">
        <v>5</v>
      </c>
      <c r="B7" s="1" t="s">
        <v>2</v>
      </c>
      <c r="C7" s="1" t="s">
        <v>6</v>
      </c>
      <c r="D7" s="1" t="s">
        <v>4</v>
      </c>
      <c r="E7" s="1" t="s">
        <v>8</v>
      </c>
    </row>
    <row r="8" spans="1:7" x14ac:dyDescent="0.4">
      <c r="A8" s="1">
        <v>6</v>
      </c>
      <c r="B8" s="1" t="s">
        <v>2</v>
      </c>
      <c r="C8" s="1" t="s">
        <v>6</v>
      </c>
      <c r="D8" s="1" t="s">
        <v>9</v>
      </c>
      <c r="E8" s="1" t="s">
        <v>15</v>
      </c>
    </row>
    <row r="9" spans="1:7" x14ac:dyDescent="0.4">
      <c r="A9" s="1">
        <v>7</v>
      </c>
      <c r="B9" s="1" t="s">
        <v>2</v>
      </c>
      <c r="C9" s="1" t="s">
        <v>6</v>
      </c>
      <c r="D9" s="1" t="s">
        <v>9</v>
      </c>
      <c r="E9" s="1" t="s">
        <v>7</v>
      </c>
    </row>
    <row r="10" spans="1:7" x14ac:dyDescent="0.4">
      <c r="A10" s="1">
        <v>8</v>
      </c>
      <c r="B10" s="1" t="s">
        <v>2</v>
      </c>
      <c r="C10" s="1" t="s">
        <v>6</v>
      </c>
      <c r="D10" s="1" t="s">
        <v>9</v>
      </c>
      <c r="E10" s="1" t="s">
        <v>5</v>
      </c>
    </row>
    <row r="11" spans="1:7" x14ac:dyDescent="0.4">
      <c r="A11" s="1">
        <v>9</v>
      </c>
      <c r="B11" s="1" t="s">
        <v>2</v>
      </c>
      <c r="C11" s="1" t="s">
        <v>6</v>
      </c>
      <c r="D11" s="1" t="s">
        <v>9</v>
      </c>
      <c r="E11" s="1" t="s">
        <v>7</v>
      </c>
    </row>
    <row r="12" spans="1:7" x14ac:dyDescent="0.4">
      <c r="A12" s="1">
        <v>10</v>
      </c>
      <c r="B12" s="1" t="s">
        <v>2</v>
      </c>
      <c r="C12" s="1" t="s">
        <v>6</v>
      </c>
      <c r="D12" s="1" t="s">
        <v>9</v>
      </c>
      <c r="E12" s="1" t="s">
        <v>27</v>
      </c>
    </row>
    <row r="13" spans="1:7" x14ac:dyDescent="0.4">
      <c r="A13" s="1">
        <v>11</v>
      </c>
      <c r="B13" s="1" t="s">
        <v>2</v>
      </c>
      <c r="C13" s="1" t="s">
        <v>6</v>
      </c>
      <c r="D13" s="1" t="s">
        <v>9</v>
      </c>
      <c r="E13" s="1" t="s">
        <v>8</v>
      </c>
    </row>
    <row r="14" spans="1:7" x14ac:dyDescent="0.4">
      <c r="A14" s="1">
        <v>12</v>
      </c>
      <c r="B14" s="1" t="s">
        <v>2</v>
      </c>
      <c r="C14" s="1" t="s">
        <v>6</v>
      </c>
      <c r="D14" s="1" t="s">
        <v>18</v>
      </c>
      <c r="E14" s="1" t="s">
        <v>15</v>
      </c>
    </row>
    <row r="15" spans="1:7" x14ac:dyDescent="0.4">
      <c r="A15" s="1">
        <v>13</v>
      </c>
      <c r="B15" s="1" t="s">
        <v>2</v>
      </c>
      <c r="C15" s="1" t="s">
        <v>6</v>
      </c>
      <c r="D15" s="1" t="s">
        <v>18</v>
      </c>
      <c r="E15" s="1" t="s">
        <v>7</v>
      </c>
    </row>
    <row r="16" spans="1:7" x14ac:dyDescent="0.4">
      <c r="A16" s="1">
        <v>14</v>
      </c>
      <c r="B16" s="1" t="s">
        <v>2</v>
      </c>
      <c r="C16" s="1" t="s">
        <v>6</v>
      </c>
      <c r="D16" s="1" t="s">
        <v>18</v>
      </c>
      <c r="E16" s="1" t="s">
        <v>5</v>
      </c>
    </row>
    <row r="17" spans="1:5" x14ac:dyDescent="0.4">
      <c r="A17" s="1">
        <v>14</v>
      </c>
      <c r="B17" s="1" t="s">
        <v>2</v>
      </c>
      <c r="C17" s="1" t="s">
        <v>6</v>
      </c>
      <c r="D17" s="1" t="s">
        <v>18</v>
      </c>
      <c r="E17" s="1" t="s">
        <v>7</v>
      </c>
    </row>
    <row r="18" spans="1:5" x14ac:dyDescent="0.4">
      <c r="A18" s="1">
        <v>14</v>
      </c>
      <c r="B18" s="1" t="s">
        <v>2</v>
      </c>
      <c r="C18" s="1" t="s">
        <v>6</v>
      </c>
      <c r="D18" s="1" t="s">
        <v>18</v>
      </c>
      <c r="E18" s="1" t="s">
        <v>17</v>
      </c>
    </row>
    <row r="19" spans="1:5" x14ac:dyDescent="0.4">
      <c r="A19" s="1">
        <v>14</v>
      </c>
      <c r="B19" s="1" t="s">
        <v>2</v>
      </c>
      <c r="C19" s="1" t="s">
        <v>6</v>
      </c>
      <c r="D19" s="1" t="s">
        <v>18</v>
      </c>
      <c r="E19" s="1" t="s">
        <v>16</v>
      </c>
    </row>
    <row r="20" spans="1:5" x14ac:dyDescent="0.4">
      <c r="A20" s="1">
        <v>14</v>
      </c>
      <c r="B20" s="1" t="s">
        <v>2</v>
      </c>
      <c r="C20" s="1" t="s">
        <v>6</v>
      </c>
      <c r="D20" s="1" t="s">
        <v>18</v>
      </c>
      <c r="E20" s="1" t="s">
        <v>8</v>
      </c>
    </row>
    <row r="21" spans="1:5" x14ac:dyDescent="0.4">
      <c r="A21" s="1">
        <v>14</v>
      </c>
      <c r="B21" s="1" t="s">
        <v>2</v>
      </c>
      <c r="C21" s="1" t="s">
        <v>11</v>
      </c>
      <c r="D21" s="1" t="s">
        <v>4</v>
      </c>
      <c r="E21" s="1" t="s">
        <v>15</v>
      </c>
    </row>
    <row r="22" spans="1:5" x14ac:dyDescent="0.4">
      <c r="A22" s="1">
        <v>14</v>
      </c>
      <c r="B22" s="1" t="s">
        <v>2</v>
      </c>
      <c r="C22" s="1" t="s">
        <v>11</v>
      </c>
      <c r="D22" s="1" t="s">
        <v>4</v>
      </c>
      <c r="E22" s="1" t="s">
        <v>5</v>
      </c>
    </row>
    <row r="23" spans="1:5" x14ac:dyDescent="0.4">
      <c r="A23" s="1">
        <v>14</v>
      </c>
      <c r="B23" s="1" t="s">
        <v>2</v>
      </c>
      <c r="C23" s="1" t="s">
        <v>11</v>
      </c>
      <c r="D23" s="1" t="s">
        <v>4</v>
      </c>
      <c r="E23" s="1" t="s">
        <v>7</v>
      </c>
    </row>
    <row r="24" spans="1:5" x14ac:dyDescent="0.4">
      <c r="A24" s="1">
        <v>14</v>
      </c>
      <c r="B24" s="1" t="s">
        <v>2</v>
      </c>
      <c r="C24" s="1" t="s">
        <v>11</v>
      </c>
      <c r="D24" s="1" t="s">
        <v>4</v>
      </c>
      <c r="E24" s="1" t="s">
        <v>16</v>
      </c>
    </row>
    <row r="25" spans="1:5" x14ac:dyDescent="0.4">
      <c r="A25" s="1">
        <v>14</v>
      </c>
      <c r="B25" s="1" t="s">
        <v>2</v>
      </c>
      <c r="C25" s="1" t="s">
        <v>11</v>
      </c>
      <c r="D25" s="1" t="s">
        <v>4</v>
      </c>
      <c r="E25" s="1" t="s">
        <v>8</v>
      </c>
    </row>
    <row r="26" spans="1:5" x14ac:dyDescent="0.4">
      <c r="A26" s="1">
        <v>14</v>
      </c>
      <c r="B26" s="1" t="s">
        <v>2</v>
      </c>
      <c r="C26" s="1" t="s">
        <v>11</v>
      </c>
      <c r="D26" s="1" t="s">
        <v>9</v>
      </c>
      <c r="E26" s="1" t="s">
        <v>15</v>
      </c>
    </row>
    <row r="27" spans="1:5" x14ac:dyDescent="0.4">
      <c r="A27" s="1">
        <v>14</v>
      </c>
      <c r="B27" s="1" t="s">
        <v>2</v>
      </c>
      <c r="C27" s="1" t="s">
        <v>11</v>
      </c>
      <c r="D27" s="1" t="s">
        <v>9</v>
      </c>
      <c r="E27" s="1" t="s">
        <v>7</v>
      </c>
    </row>
    <row r="28" spans="1:5" x14ac:dyDescent="0.4">
      <c r="A28" s="1">
        <v>14</v>
      </c>
      <c r="B28" s="1" t="s">
        <v>2</v>
      </c>
      <c r="C28" s="1" t="s">
        <v>11</v>
      </c>
      <c r="D28" s="1" t="s">
        <v>9</v>
      </c>
      <c r="E28" s="1" t="s">
        <v>5</v>
      </c>
    </row>
    <row r="29" spans="1:5" x14ac:dyDescent="0.4">
      <c r="A29" s="1">
        <v>14</v>
      </c>
      <c r="C29" s="1" t="s">
        <v>11</v>
      </c>
      <c r="D29" s="1" t="s">
        <v>9</v>
      </c>
      <c r="E29" s="1" t="s">
        <v>7</v>
      </c>
    </row>
    <row r="30" spans="1:5" x14ac:dyDescent="0.4">
      <c r="A30" s="1">
        <v>14</v>
      </c>
      <c r="B30" s="1" t="s">
        <v>2</v>
      </c>
      <c r="C30" s="1" t="s">
        <v>11</v>
      </c>
      <c r="D30" s="1" t="s">
        <v>9</v>
      </c>
      <c r="E30" s="1" t="s">
        <v>17</v>
      </c>
    </row>
    <row r="31" spans="1:5" x14ac:dyDescent="0.4">
      <c r="A31" s="1">
        <v>14</v>
      </c>
      <c r="B31" s="1" t="s">
        <v>2</v>
      </c>
      <c r="C31" s="1" t="s">
        <v>11</v>
      </c>
      <c r="D31" s="1" t="s">
        <v>9</v>
      </c>
      <c r="E31" s="1" t="s">
        <v>8</v>
      </c>
    </row>
    <row r="32" spans="1:5" x14ac:dyDescent="0.4">
      <c r="A32" s="1">
        <v>14</v>
      </c>
      <c r="B32" s="1" t="s">
        <v>2</v>
      </c>
      <c r="C32" s="1" t="s">
        <v>11</v>
      </c>
      <c r="D32" s="1" t="s">
        <v>18</v>
      </c>
      <c r="E32" s="1" t="s">
        <v>15</v>
      </c>
    </row>
    <row r="33" spans="1:5" x14ac:dyDescent="0.4">
      <c r="A33" s="1">
        <v>14</v>
      </c>
      <c r="B33" s="1" t="s">
        <v>2</v>
      </c>
      <c r="C33" s="1" t="s">
        <v>11</v>
      </c>
      <c r="D33" s="1" t="s">
        <v>18</v>
      </c>
      <c r="E33" s="1" t="s">
        <v>7</v>
      </c>
    </row>
    <row r="34" spans="1:5" x14ac:dyDescent="0.4">
      <c r="A34" s="1">
        <v>14</v>
      </c>
      <c r="B34" s="1" t="s">
        <v>2</v>
      </c>
      <c r="C34" s="1" t="s">
        <v>11</v>
      </c>
      <c r="D34" s="1" t="s">
        <v>18</v>
      </c>
      <c r="E34" s="1" t="s">
        <v>5</v>
      </c>
    </row>
    <row r="35" spans="1:5" x14ac:dyDescent="0.4">
      <c r="A35" s="1">
        <v>14</v>
      </c>
      <c r="B35" s="1" t="s">
        <v>2</v>
      </c>
      <c r="C35" s="1" t="s">
        <v>11</v>
      </c>
      <c r="D35" s="1" t="s">
        <v>18</v>
      </c>
      <c r="E35" s="1" t="s">
        <v>7</v>
      </c>
    </row>
    <row r="36" spans="1:5" x14ac:dyDescent="0.4">
      <c r="C36" s="1" t="s">
        <v>11</v>
      </c>
      <c r="D36" s="1" t="s">
        <v>18</v>
      </c>
      <c r="E36" s="1" t="s">
        <v>17</v>
      </c>
    </row>
    <row r="37" spans="1:5" x14ac:dyDescent="0.4">
      <c r="C37" s="1" t="s">
        <v>11</v>
      </c>
      <c r="D37" s="1" t="s">
        <v>18</v>
      </c>
      <c r="E37" s="1" t="s">
        <v>16</v>
      </c>
    </row>
    <row r="38" spans="1:5" x14ac:dyDescent="0.4">
      <c r="C38" s="1" t="s">
        <v>11</v>
      </c>
      <c r="D38" s="1" t="s">
        <v>18</v>
      </c>
      <c r="E38" s="1" t="s">
        <v>8</v>
      </c>
    </row>
  </sheetData>
  <autoFilter ref="C2:D45" xr:uid="{90C05E39-24A5-440D-928B-0D42D937CDEC}"/>
  <phoneticPr fontId="3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tart">
                <anchor moveWithCells="1" sizeWithCells="1">
                  <from>
                    <xdr:col>7</xdr:col>
                    <xdr:colOff>57150</xdr:colOff>
                    <xdr:row>0</xdr:row>
                    <xdr:rowOff>76200</xdr:rowOff>
                  </from>
                  <to>
                    <xdr:col>9</xdr:col>
                    <xdr:colOff>304800</xdr:colOff>
                    <xdr:row>0</xdr:row>
                    <xdr:rowOff>400050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utton 5">
              <controlPr defaultSize="0" print="0" autoFill="0" autoPict="0" macro="[0]!Module3.start">
                <anchor>
                  <from>
                    <xdr:col>10</xdr:col>
                    <xdr:colOff>381000</xdr:colOff>
                    <xdr:row>0</xdr:row>
                    <xdr:rowOff>57150</xdr:rowOff>
                  </from>
                  <to>
                    <xdr:col>12</xdr:col>
                    <xdr:colOff>666750</xdr:colOff>
                    <xdr:row>0</xdr:row>
                    <xdr:rowOff>390525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A99C83-EB14-4B3A-A05A-DFAB4F2C1D0B}">
  <sheetPr codeName="Sheet10"/>
  <dimension ref="B1:T37"/>
  <sheetViews>
    <sheetView workbookViewId="0">
      <selection activeCell="J15" sqref="J15"/>
    </sheetView>
  </sheetViews>
  <sheetFormatPr defaultRowHeight="12" x14ac:dyDescent="0.4"/>
  <cols>
    <col min="1" max="1" width="3.125" style="13" customWidth="1"/>
    <col min="2" max="2" width="6.75" style="13" bestFit="1" customWidth="1"/>
    <col min="3" max="3" width="18.625" style="13" bestFit="1" customWidth="1"/>
    <col min="4" max="4" width="6.75" style="13" bestFit="1" customWidth="1"/>
    <col min="5" max="5" width="15" style="13" bestFit="1" customWidth="1"/>
    <col min="6" max="6" width="6.75" style="13" bestFit="1" customWidth="1"/>
    <col min="7" max="8" width="4.375" style="13" bestFit="1" customWidth="1"/>
    <col min="9" max="9" width="15" style="13" bestFit="1" customWidth="1"/>
    <col min="10" max="10" width="6.75" style="13" bestFit="1" customWidth="1"/>
    <col min="11" max="12" width="4.375" style="13" bestFit="1" customWidth="1"/>
    <col min="13" max="14" width="6.75" style="13" bestFit="1" customWidth="1"/>
    <col min="15" max="16" width="4.375" style="13" bestFit="1" customWidth="1"/>
    <col min="17" max="17" width="6.75" style="13" bestFit="1" customWidth="1"/>
    <col min="18" max="16384" width="9" style="13"/>
  </cols>
  <sheetData>
    <row r="1" spans="2:20" x14ac:dyDescent="0.4">
      <c r="E1" s="35" t="s">
        <v>46</v>
      </c>
      <c r="F1" s="35"/>
      <c r="G1" s="35"/>
      <c r="H1" s="35"/>
      <c r="I1" s="34" t="s">
        <v>49</v>
      </c>
      <c r="J1" s="35"/>
      <c r="K1" s="35"/>
      <c r="L1" s="35"/>
      <c r="M1" s="34" t="s">
        <v>50</v>
      </c>
      <c r="N1" s="35"/>
      <c r="O1" s="35"/>
      <c r="P1" s="35"/>
      <c r="Q1" s="36"/>
    </row>
    <row r="2" spans="2:20" x14ac:dyDescent="0.4">
      <c r="B2" s="30" t="s">
        <v>0</v>
      </c>
      <c r="C2" s="37" t="s">
        <v>19</v>
      </c>
      <c r="D2" s="30" t="s">
        <v>45</v>
      </c>
      <c r="E2" s="38" t="s">
        <v>21</v>
      </c>
      <c r="F2" s="33" t="s">
        <v>35</v>
      </c>
      <c r="G2" s="33" t="s">
        <v>47</v>
      </c>
      <c r="H2" s="33" t="s">
        <v>48</v>
      </c>
      <c r="I2" s="33" t="s">
        <v>21</v>
      </c>
      <c r="J2" s="33" t="s">
        <v>35</v>
      </c>
      <c r="K2" s="33" t="s">
        <v>47</v>
      </c>
      <c r="L2" s="33" t="s">
        <v>48</v>
      </c>
      <c r="M2" s="33" t="s">
        <v>21</v>
      </c>
      <c r="N2" s="33" t="s">
        <v>35</v>
      </c>
      <c r="O2" s="33" t="s">
        <v>47</v>
      </c>
      <c r="P2" s="33" t="s">
        <v>48</v>
      </c>
      <c r="Q2" s="33" t="s">
        <v>44</v>
      </c>
    </row>
    <row r="3" spans="2:20" x14ac:dyDescent="0.4">
      <c r="B3" s="32" t="s">
        <v>6</v>
      </c>
      <c r="C3" s="32" t="s">
        <v>15</v>
      </c>
      <c r="D3" s="29"/>
      <c r="E3" s="32" t="s">
        <v>9</v>
      </c>
      <c r="F3" s="32">
        <v>10</v>
      </c>
      <c r="G3" s="32"/>
      <c r="H3" s="32"/>
      <c r="I3" s="32" t="s">
        <v>36</v>
      </c>
      <c r="J3" s="32">
        <v>2</v>
      </c>
      <c r="K3" s="32"/>
      <c r="L3" s="32"/>
      <c r="M3" s="32"/>
      <c r="N3" s="32"/>
      <c r="O3" s="32"/>
      <c r="P3" s="32"/>
      <c r="Q3" s="32"/>
      <c r="R3" s="44" t="str">
        <f>$B$3&amp;$C$3&amp;$E$3</f>
        <v>国語ウナギの謎を追って思考・判断・表現</v>
      </c>
      <c r="S3" s="44" t="str">
        <f>$B$3&amp;$C$3&amp;$I$3</f>
        <v>国語ウナギの謎を追って知識・技能</v>
      </c>
      <c r="T3" s="44" t="str">
        <f>$B$3&amp;$C$3&amp;$M$3</f>
        <v>国語ウナギの謎を追って</v>
      </c>
    </row>
    <row r="4" spans="2:20" x14ac:dyDescent="0.4">
      <c r="B4" s="32" t="s">
        <v>6</v>
      </c>
      <c r="C4" s="32" t="s">
        <v>5</v>
      </c>
      <c r="D4" s="32"/>
      <c r="E4" s="32" t="s">
        <v>36</v>
      </c>
      <c r="F4" s="32"/>
      <c r="G4" s="32"/>
      <c r="H4" s="32"/>
      <c r="I4" s="32" t="s">
        <v>36</v>
      </c>
      <c r="J4" s="32"/>
      <c r="K4" s="32"/>
      <c r="L4" s="32"/>
      <c r="M4" s="32"/>
      <c r="N4" s="32"/>
      <c r="O4" s="32"/>
      <c r="P4" s="32"/>
      <c r="Q4" s="32"/>
      <c r="R4" s="44" t="str">
        <f>$B$4&amp;$C$4&amp;$E$4</f>
        <v>国語もしもの時に備えよう知識・技能</v>
      </c>
      <c r="S4" s="44" t="str">
        <f>$B$4&amp;$C$4&amp;$I$4</f>
        <v>国語もしもの時に備えよう知識・技能</v>
      </c>
      <c r="T4" s="44" t="str">
        <f>$B$4&amp;$C$4&amp;$M$4</f>
        <v>国語もしもの時に備えよう</v>
      </c>
    </row>
    <row r="5" spans="2:20" x14ac:dyDescent="0.4">
      <c r="B5" s="32" t="s">
        <v>6</v>
      </c>
      <c r="C5" s="32" t="s">
        <v>7</v>
      </c>
      <c r="D5" s="32"/>
      <c r="E5" s="32" t="s">
        <v>36</v>
      </c>
      <c r="F5" s="32"/>
      <c r="G5" s="32"/>
      <c r="H5" s="32"/>
      <c r="I5" s="32" t="s">
        <v>9</v>
      </c>
      <c r="J5" s="32"/>
      <c r="K5" s="32"/>
      <c r="L5" s="32"/>
      <c r="M5" s="32"/>
      <c r="N5" s="32"/>
      <c r="O5" s="32"/>
      <c r="P5" s="32"/>
      <c r="Q5" s="32"/>
      <c r="R5" s="44" t="str">
        <f>$B$5&amp;$C$5&amp;$E$5</f>
        <v>国語初雪の降る日知識・技能</v>
      </c>
      <c r="S5" s="44" t="str">
        <f>$B$5&amp;$C$5&amp;$I$5</f>
        <v>国語初雪の降る日思考・判断・表現</v>
      </c>
      <c r="T5" s="44" t="str">
        <f>$B$5&amp;$C$5&amp;$M$5</f>
        <v>国語初雪の降る日</v>
      </c>
    </row>
    <row r="6" spans="2:20" x14ac:dyDescent="0.4">
      <c r="B6" s="32" t="s">
        <v>6</v>
      </c>
      <c r="C6" s="32" t="s">
        <v>16</v>
      </c>
      <c r="D6" s="32"/>
      <c r="E6" s="32" t="s">
        <v>36</v>
      </c>
      <c r="F6" s="32"/>
      <c r="G6" s="32"/>
      <c r="H6" s="32"/>
      <c r="I6" s="32" t="s">
        <v>9</v>
      </c>
      <c r="J6" s="32"/>
      <c r="K6" s="32"/>
      <c r="L6" s="32"/>
      <c r="M6" s="32"/>
      <c r="N6" s="32"/>
      <c r="O6" s="32"/>
      <c r="P6" s="32"/>
      <c r="Q6" s="32"/>
      <c r="R6" s="44" t="str">
        <f>$B$6&amp;$C$6&amp;$E$6</f>
        <v>国語漢字の確かめ⑤知識・技能</v>
      </c>
      <c r="S6" s="44" t="str">
        <f>$B$6&amp;$C$6&amp;$I$6</f>
        <v>国語漢字の確かめ⑤思考・判断・表現</v>
      </c>
      <c r="T6" s="44" t="str">
        <f>$B$6&amp;$C$6&amp;$M$6</f>
        <v>国語漢字の確かめ⑤</v>
      </c>
    </row>
    <row r="7" spans="2:20" x14ac:dyDescent="0.4">
      <c r="B7" s="32" t="s">
        <v>6</v>
      </c>
      <c r="C7" s="32" t="s">
        <v>8</v>
      </c>
      <c r="D7" s="32"/>
      <c r="E7" s="32" t="s">
        <v>36</v>
      </c>
      <c r="F7" s="32"/>
      <c r="G7" s="32"/>
      <c r="H7" s="32"/>
      <c r="I7" s="32" t="s">
        <v>9</v>
      </c>
      <c r="J7" s="32"/>
      <c r="K7" s="32"/>
      <c r="L7" s="32"/>
      <c r="M7" s="32"/>
      <c r="N7" s="32"/>
      <c r="O7" s="32"/>
      <c r="P7" s="32"/>
      <c r="Q7" s="32"/>
      <c r="R7" s="44" t="str">
        <f>$B$7&amp;$C$7&amp;$E$7</f>
        <v>国語4年のまとめ知識・技能</v>
      </c>
      <c r="S7" s="44" t="str">
        <f>$B$7&amp;$C$7&amp;$I$7</f>
        <v>国語4年のまとめ思考・判断・表現</v>
      </c>
      <c r="T7" s="44" t="str">
        <f>$B$7&amp;$C$7&amp;$M$7</f>
        <v>国語4年のまとめ</v>
      </c>
    </row>
    <row r="8" spans="2:20" x14ac:dyDescent="0.4">
      <c r="B8" s="32" t="s">
        <v>6</v>
      </c>
      <c r="C8" s="32" t="s">
        <v>17</v>
      </c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44" t="str">
        <f>$B$8&amp;$C$8&amp;$E$8</f>
        <v>国語話すこと・聞くこと②</v>
      </c>
      <c r="S8" s="44" t="str">
        <f>$B$8&amp;$C$8&amp;$I$8</f>
        <v>国語話すこと・聞くこと②</v>
      </c>
      <c r="T8" s="44" t="str">
        <f>$B$8&amp;$C$8&amp;$M$8</f>
        <v>国語話すこと・聞くこと②</v>
      </c>
    </row>
    <row r="9" spans="2:20" x14ac:dyDescent="0.4">
      <c r="B9" s="32" t="s">
        <v>11</v>
      </c>
      <c r="C9" s="32" t="s">
        <v>15</v>
      </c>
      <c r="D9" s="32"/>
      <c r="E9" s="32" t="s">
        <v>36</v>
      </c>
      <c r="F9" s="32"/>
      <c r="G9" s="32"/>
      <c r="H9" s="32"/>
      <c r="I9" s="32" t="s">
        <v>9</v>
      </c>
      <c r="J9" s="32"/>
      <c r="K9" s="32"/>
      <c r="L9" s="32"/>
      <c r="M9" s="32"/>
      <c r="N9" s="32"/>
      <c r="O9" s="32"/>
      <c r="P9" s="32"/>
      <c r="Q9" s="32"/>
      <c r="R9" s="44" t="str">
        <f>$B$9&amp;$C$9&amp;$E$9</f>
        <v>算数ウナギの謎を追って知識・技能</v>
      </c>
      <c r="S9" s="44" t="str">
        <f>$B$9&amp;$C$9&amp;$I$9</f>
        <v>算数ウナギの謎を追って思考・判断・表現</v>
      </c>
      <c r="T9" s="44" t="str">
        <f>$B$9&amp;$C$9&amp;$M$9</f>
        <v>算数ウナギの謎を追って</v>
      </c>
    </row>
    <row r="10" spans="2:20" x14ac:dyDescent="0.4">
      <c r="B10" s="32" t="s">
        <v>11</v>
      </c>
      <c r="C10" s="32" t="s">
        <v>5</v>
      </c>
      <c r="D10" s="32"/>
      <c r="E10" s="32" t="s">
        <v>36</v>
      </c>
      <c r="F10" s="32"/>
      <c r="G10" s="32"/>
      <c r="H10" s="32"/>
      <c r="I10" s="32" t="s">
        <v>9</v>
      </c>
      <c r="J10" s="32"/>
      <c r="K10" s="32"/>
      <c r="L10" s="32"/>
      <c r="M10" s="32"/>
      <c r="N10" s="32"/>
      <c r="O10" s="32"/>
      <c r="P10" s="32"/>
      <c r="Q10" s="32"/>
      <c r="R10" s="44" t="str">
        <f>$B$10&amp;$C$10&amp;$E$10</f>
        <v>算数もしもの時に備えよう知識・技能</v>
      </c>
      <c r="S10" s="44" t="str">
        <f>$B$10&amp;$C$10&amp;$I$10</f>
        <v>算数もしもの時に備えよう思考・判断・表現</v>
      </c>
      <c r="T10" s="44" t="str">
        <f>$B$10&amp;$C$10&amp;$M$10</f>
        <v>算数もしもの時に備えよう</v>
      </c>
    </row>
    <row r="11" spans="2:20" x14ac:dyDescent="0.4">
      <c r="B11" s="32" t="s">
        <v>11</v>
      </c>
      <c r="C11" s="32" t="s">
        <v>7</v>
      </c>
      <c r="D11" s="32"/>
      <c r="E11" s="32" t="s">
        <v>36</v>
      </c>
      <c r="F11" s="32"/>
      <c r="G11" s="32"/>
      <c r="H11" s="32"/>
      <c r="I11" s="32" t="s">
        <v>9</v>
      </c>
      <c r="J11" s="32"/>
      <c r="K11" s="32"/>
      <c r="L11" s="32"/>
      <c r="M11" s="32"/>
      <c r="N11" s="32"/>
      <c r="O11" s="32"/>
      <c r="P11" s="32"/>
      <c r="Q11" s="32"/>
      <c r="R11" s="44" t="str">
        <f>$B$11&amp;$C$11&amp;$E$11</f>
        <v>算数初雪の降る日知識・技能</v>
      </c>
      <c r="S11" s="44" t="str">
        <f>$B$11&amp;$C$11&amp;$I$11</f>
        <v>算数初雪の降る日思考・判断・表現</v>
      </c>
      <c r="T11" s="44" t="str">
        <f>$B$11&amp;$C$11&amp;$M$11</f>
        <v>算数初雪の降る日</v>
      </c>
    </row>
    <row r="12" spans="2:20" x14ac:dyDescent="0.4">
      <c r="B12" s="32" t="s">
        <v>11</v>
      </c>
      <c r="C12" s="32" t="s">
        <v>16</v>
      </c>
      <c r="D12" s="32"/>
      <c r="E12" s="32" t="s">
        <v>36</v>
      </c>
      <c r="F12" s="32"/>
      <c r="G12" s="32"/>
      <c r="H12" s="32"/>
      <c r="I12" s="32"/>
      <c r="J12" s="32"/>
      <c r="K12" s="32"/>
      <c r="L12" s="32"/>
      <c r="M12" s="32"/>
      <c r="N12" s="32"/>
      <c r="O12" s="32"/>
      <c r="P12" s="32"/>
      <c r="Q12" s="32"/>
      <c r="R12" s="44" t="str">
        <f>$B$12&amp;$C$12&amp;$E$12</f>
        <v>算数漢字の確かめ⑤知識・技能</v>
      </c>
      <c r="S12" s="44" t="str">
        <f>$B$12&amp;$C$12&amp;$I$12</f>
        <v>算数漢字の確かめ⑤</v>
      </c>
      <c r="T12" s="44" t="str">
        <f>$B$12&amp;$C$12&amp;$M$12</f>
        <v>算数漢字の確かめ⑤</v>
      </c>
    </row>
    <row r="13" spans="2:20" x14ac:dyDescent="0.4">
      <c r="B13" s="32" t="s">
        <v>11</v>
      </c>
      <c r="C13" s="32" t="s">
        <v>8</v>
      </c>
      <c r="D13" s="32"/>
      <c r="E13" s="32" t="s">
        <v>36</v>
      </c>
      <c r="F13" s="32"/>
      <c r="G13" s="32"/>
      <c r="H13" s="32"/>
      <c r="I13" s="32" t="s">
        <v>9</v>
      </c>
      <c r="J13" s="32"/>
      <c r="K13" s="32"/>
      <c r="L13" s="32"/>
      <c r="M13" s="32"/>
      <c r="N13" s="32"/>
      <c r="O13" s="32"/>
      <c r="P13" s="32"/>
      <c r="Q13" s="32"/>
      <c r="R13" s="44" t="str">
        <f>$B$13&amp;$C$13&amp;$E$13</f>
        <v>算数4年のまとめ知識・技能</v>
      </c>
      <c r="S13" s="44" t="str">
        <f>$B$13&amp;$C$13&amp;$I$13</f>
        <v>算数4年のまとめ思考・判断・表現</v>
      </c>
      <c r="T13" s="44" t="str">
        <f>$B$13&amp;$C$13&amp;$M$13</f>
        <v>算数4年のまとめ</v>
      </c>
    </row>
    <row r="14" spans="2:20" x14ac:dyDescent="0.4">
      <c r="B14" s="32" t="s">
        <v>11</v>
      </c>
      <c r="C14" s="32" t="s">
        <v>17</v>
      </c>
      <c r="D14" s="32"/>
      <c r="E14" s="32" t="s">
        <v>9</v>
      </c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44" t="str">
        <f>$B$14&amp;$C$14&amp;$E$14</f>
        <v>算数話すこと・聞くこと②思考・判断・表現</v>
      </c>
      <c r="S14" s="44" t="str">
        <f>$B$14&amp;$C$14&amp;$I$14</f>
        <v>算数話すこと・聞くこと②</v>
      </c>
      <c r="T14" s="44" t="str">
        <f>$B$14&amp;$C$14&amp;$M$14</f>
        <v>算数話すこと・聞くこと②</v>
      </c>
    </row>
    <row r="15" spans="2:20" ht="18.75" x14ac:dyDescent="0.4">
      <c r="B15"/>
      <c r="C15"/>
    </row>
    <row r="16" spans="2:20" ht="18.75" x14ac:dyDescent="0.4">
      <c r="B16"/>
      <c r="C16"/>
    </row>
    <row r="17" spans="2:3" ht="18.75" x14ac:dyDescent="0.4">
      <c r="B17"/>
      <c r="C17"/>
    </row>
    <row r="18" spans="2:3" ht="18.75" x14ac:dyDescent="0.4">
      <c r="B18"/>
      <c r="C18"/>
    </row>
    <row r="19" spans="2:3" ht="18.75" x14ac:dyDescent="0.4">
      <c r="B19"/>
      <c r="C19"/>
    </row>
    <row r="20" spans="2:3" ht="18.75" x14ac:dyDescent="0.4">
      <c r="B20"/>
      <c r="C20"/>
    </row>
    <row r="21" spans="2:3" ht="18.75" x14ac:dyDescent="0.4">
      <c r="B21"/>
      <c r="C21"/>
    </row>
    <row r="22" spans="2:3" ht="18.75" x14ac:dyDescent="0.4">
      <c r="B22"/>
      <c r="C22"/>
    </row>
    <row r="23" spans="2:3" ht="18.75" x14ac:dyDescent="0.4">
      <c r="B23"/>
      <c r="C23"/>
    </row>
    <row r="24" spans="2:3" ht="18.75" x14ac:dyDescent="0.4">
      <c r="B24"/>
      <c r="C24"/>
    </row>
    <row r="25" spans="2:3" ht="18.75" x14ac:dyDescent="0.4">
      <c r="B25"/>
      <c r="C25"/>
    </row>
    <row r="26" spans="2:3" ht="18.75" x14ac:dyDescent="0.4">
      <c r="B26"/>
      <c r="C26"/>
    </row>
    <row r="27" spans="2:3" ht="18.75" x14ac:dyDescent="0.4">
      <c r="B27"/>
      <c r="C27"/>
    </row>
    <row r="28" spans="2:3" ht="18.75" x14ac:dyDescent="0.4">
      <c r="B28"/>
      <c r="C28"/>
    </row>
    <row r="29" spans="2:3" ht="18.75" x14ac:dyDescent="0.4">
      <c r="B29"/>
      <c r="C29"/>
    </row>
    <row r="30" spans="2:3" ht="18.75" x14ac:dyDescent="0.4">
      <c r="B30"/>
      <c r="C30"/>
    </row>
    <row r="31" spans="2:3" ht="18.75" x14ac:dyDescent="0.4">
      <c r="B31"/>
      <c r="C31"/>
    </row>
    <row r="32" spans="2:3" ht="18.75" x14ac:dyDescent="0.4">
      <c r="B32"/>
      <c r="C32"/>
    </row>
    <row r="33" spans="2:3" ht="18.75" x14ac:dyDescent="0.4">
      <c r="B33"/>
      <c r="C33"/>
    </row>
    <row r="34" spans="2:3" ht="18.75" x14ac:dyDescent="0.4">
      <c r="B34"/>
      <c r="C34"/>
    </row>
    <row r="35" spans="2:3" ht="18.75" x14ac:dyDescent="0.4">
      <c r="B35"/>
      <c r="C35"/>
    </row>
    <row r="36" spans="2:3" ht="18.75" x14ac:dyDescent="0.4">
      <c r="B36"/>
      <c r="C36"/>
    </row>
    <row r="37" spans="2:3" ht="18.75" x14ac:dyDescent="0.4">
      <c r="B37"/>
      <c r="C37"/>
    </row>
  </sheetData>
  <autoFilter ref="B2:Q14" xr:uid="{7AA99C83-EB14-4B3A-A05A-DFAB4F2C1D0B}"/>
  <phoneticPr fontId="3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127525-AF22-43F5-A042-BBAB5E901C8F}">
  <sheetPr codeName="Sheet23"/>
  <dimension ref="A1:AF37"/>
  <sheetViews>
    <sheetView tabSelected="1"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K4" sqref="K4"/>
    </sheetView>
  </sheetViews>
  <sheetFormatPr defaultRowHeight="12" x14ac:dyDescent="0.4"/>
  <cols>
    <col min="1" max="2" width="9" style="25"/>
    <col min="3" max="32" width="4.375" style="25" customWidth="1"/>
    <col min="33" max="16384" width="9" style="25"/>
  </cols>
  <sheetData>
    <row r="1" spans="1:32" x14ac:dyDescent="0.4">
      <c r="A1" s="47"/>
      <c r="B1" s="34" t="s">
        <v>21</v>
      </c>
      <c r="C1" s="50" t="s">
        <v>23</v>
      </c>
      <c r="D1" s="54"/>
      <c r="E1" s="55"/>
      <c r="F1" s="27" t="s">
        <v>36</v>
      </c>
      <c r="G1" s="27"/>
      <c r="H1" s="27"/>
      <c r="I1" s="27"/>
      <c r="J1" s="27"/>
      <c r="K1" s="27"/>
      <c r="L1" s="27"/>
      <c r="M1" s="28"/>
      <c r="N1" s="27" t="s">
        <v>9</v>
      </c>
      <c r="O1" s="27"/>
      <c r="P1" s="27"/>
      <c r="Q1" s="27"/>
      <c r="R1" s="27"/>
      <c r="S1" s="27"/>
      <c r="T1" s="27"/>
      <c r="U1" s="27"/>
      <c r="V1" s="28"/>
      <c r="W1" s="27" t="s">
        <v>40</v>
      </c>
      <c r="X1" s="27"/>
      <c r="Y1" s="27"/>
      <c r="Z1" s="27"/>
      <c r="AA1" s="27"/>
      <c r="AB1" s="27"/>
      <c r="AC1" s="27"/>
      <c r="AD1" s="27"/>
      <c r="AE1" s="27"/>
      <c r="AF1" s="28"/>
    </row>
    <row r="2" spans="1:32" ht="121.5" x14ac:dyDescent="0.4">
      <c r="B2" s="39" t="s">
        <v>22</v>
      </c>
      <c r="C2" s="56" t="s">
        <v>24</v>
      </c>
      <c r="D2" s="40" t="s">
        <v>25</v>
      </c>
      <c r="E2" s="40" t="s">
        <v>26</v>
      </c>
      <c r="F2" s="40" t="s">
        <v>41</v>
      </c>
      <c r="G2" s="40" t="s">
        <v>32</v>
      </c>
      <c r="H2" s="40" t="s">
        <v>31</v>
      </c>
      <c r="I2" s="40" t="s">
        <v>27</v>
      </c>
      <c r="J2" s="40" t="s">
        <v>42</v>
      </c>
      <c r="K2" s="56" t="s">
        <v>37</v>
      </c>
      <c r="L2" s="40" t="s">
        <v>38</v>
      </c>
      <c r="M2" s="40" t="s">
        <v>39</v>
      </c>
      <c r="N2" s="40" t="s">
        <v>41</v>
      </c>
      <c r="O2" s="40" t="s">
        <v>31</v>
      </c>
      <c r="P2" s="40" t="s">
        <v>32</v>
      </c>
      <c r="Q2" s="40" t="s">
        <v>31</v>
      </c>
      <c r="R2" s="40" t="s">
        <v>27</v>
      </c>
      <c r="S2" s="40" t="s">
        <v>42</v>
      </c>
      <c r="T2" s="56" t="s">
        <v>37</v>
      </c>
      <c r="U2" s="40" t="s">
        <v>38</v>
      </c>
      <c r="V2" s="40" t="s">
        <v>39</v>
      </c>
      <c r="W2" s="40" t="s">
        <v>41</v>
      </c>
      <c r="X2" s="40" t="s">
        <v>31</v>
      </c>
      <c r="Y2" s="40" t="s">
        <v>32</v>
      </c>
      <c r="Z2" s="40" t="s">
        <v>31</v>
      </c>
      <c r="AA2" s="40" t="s">
        <v>43</v>
      </c>
      <c r="AB2" s="40" t="s">
        <v>27</v>
      </c>
      <c r="AC2" s="40" t="s">
        <v>42</v>
      </c>
      <c r="AD2" s="56" t="s">
        <v>37</v>
      </c>
      <c r="AE2" s="40" t="s">
        <v>38</v>
      </c>
      <c r="AF2" s="40" t="s">
        <v>39</v>
      </c>
    </row>
    <row r="3" spans="1:32" x14ac:dyDescent="0.4">
      <c r="A3" s="46"/>
      <c r="B3" s="31" t="s">
        <v>51</v>
      </c>
      <c r="C3" s="36"/>
      <c r="D3" s="31"/>
      <c r="E3" s="31"/>
      <c r="F3" s="31" t="s">
        <v>59</v>
      </c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</row>
    <row r="4" spans="1:32" x14ac:dyDescent="0.4">
      <c r="A4" s="46"/>
      <c r="B4" s="41" t="s">
        <v>52</v>
      </c>
      <c r="C4" s="42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</row>
    <row r="5" spans="1:32" x14ac:dyDescent="0.4">
      <c r="A5" s="48">
        <v>1</v>
      </c>
      <c r="B5" s="49" t="s">
        <v>2</v>
      </c>
      <c r="C5" s="48"/>
      <c r="D5" s="48"/>
      <c r="E5" s="48"/>
      <c r="F5" s="48">
        <v>10</v>
      </c>
      <c r="G5" s="48"/>
      <c r="H5" s="48"/>
      <c r="I5" s="48"/>
      <c r="J5" s="48"/>
      <c r="K5" s="48" t="s">
        <v>58</v>
      </c>
      <c r="L5" s="48" t="str">
        <f>IF(F5="",0,F3)</f>
        <v>"=XLOOKUP(MID(=MID(CELL("filename",$A$1),FIND("]",CELL("filename",$A$1))+1,31)&amp;F2&amp;F1,採点基準!$R$3:$R$100000,採点基準!$F$3:$F$100000,XLOOKUP(=MID(CELL("filename",$A$1),FIND("]",CELL("filename",$A$1))+1,31)F2&amp;F1,採点基準!$S$3:$S$100000,採点基準!$J$3:$J$100</v>
      </c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x14ac:dyDescent="0.4">
      <c r="A6" s="29">
        <v>2</v>
      </c>
      <c r="B6" s="32" t="s">
        <v>2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</row>
    <row r="7" spans="1:32" x14ac:dyDescent="0.4">
      <c r="A7" s="48">
        <v>3</v>
      </c>
      <c r="B7" s="48" t="s">
        <v>2</v>
      </c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x14ac:dyDescent="0.4">
      <c r="A8" s="32">
        <v>4</v>
      </c>
      <c r="B8" s="32" t="s">
        <v>2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</row>
    <row r="9" spans="1:32" x14ac:dyDescent="0.4">
      <c r="A9" s="48">
        <v>5</v>
      </c>
      <c r="B9" s="48" t="s">
        <v>2</v>
      </c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x14ac:dyDescent="0.4">
      <c r="A10" s="32">
        <v>6</v>
      </c>
      <c r="B10" s="32" t="s">
        <v>2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</row>
    <row r="11" spans="1:32" x14ac:dyDescent="0.4">
      <c r="A11" s="48">
        <v>7</v>
      </c>
      <c r="B11" s="48" t="s">
        <v>2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x14ac:dyDescent="0.4">
      <c r="A12" s="32">
        <v>8</v>
      </c>
      <c r="B12" s="32" t="s">
        <v>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</row>
    <row r="13" spans="1:32" x14ac:dyDescent="0.4">
      <c r="A13" s="48">
        <v>9</v>
      </c>
      <c r="B13" s="48" t="s">
        <v>2</v>
      </c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x14ac:dyDescent="0.4">
      <c r="A14" s="32">
        <v>10</v>
      </c>
      <c r="B14" s="32" t="s">
        <v>2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</row>
    <row r="15" spans="1:32" x14ac:dyDescent="0.4">
      <c r="A15" s="48">
        <v>11</v>
      </c>
      <c r="B15" s="48" t="s">
        <v>2</v>
      </c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x14ac:dyDescent="0.4">
      <c r="A16" s="32">
        <v>12</v>
      </c>
      <c r="B16" s="32" t="s">
        <v>2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</row>
    <row r="17" spans="1:32" x14ac:dyDescent="0.4">
      <c r="A17" s="48">
        <v>13</v>
      </c>
      <c r="B17" s="48" t="s">
        <v>2</v>
      </c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1:32" x14ac:dyDescent="0.4">
      <c r="A18" s="32">
        <v>14</v>
      </c>
      <c r="B18" s="32" t="s">
        <v>2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</row>
    <row r="19" spans="1:32" x14ac:dyDescent="0.4">
      <c r="A19" s="48">
        <v>14</v>
      </c>
      <c r="B19" s="48" t="s">
        <v>2</v>
      </c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1:32" x14ac:dyDescent="0.4">
      <c r="A20" s="32">
        <v>14</v>
      </c>
      <c r="B20" s="32" t="s">
        <v>2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</row>
    <row r="21" spans="1:32" x14ac:dyDescent="0.4">
      <c r="A21" s="48">
        <v>14</v>
      </c>
      <c r="B21" s="48" t="s">
        <v>2</v>
      </c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1:32" x14ac:dyDescent="0.4">
      <c r="A22" s="32">
        <v>14</v>
      </c>
      <c r="B22" s="32" t="s">
        <v>2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</row>
    <row r="23" spans="1:32" x14ac:dyDescent="0.4">
      <c r="A23" s="48">
        <v>14</v>
      </c>
      <c r="B23" s="48" t="s">
        <v>2</v>
      </c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1:32" x14ac:dyDescent="0.4">
      <c r="A24" s="32">
        <v>14</v>
      </c>
      <c r="B24" s="32" t="s">
        <v>2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</row>
    <row r="25" spans="1:32" x14ac:dyDescent="0.4">
      <c r="A25" s="48">
        <v>14</v>
      </c>
      <c r="B25" s="48" t="s">
        <v>2</v>
      </c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1:32" x14ac:dyDescent="0.4">
      <c r="A26" s="32">
        <v>14</v>
      </c>
      <c r="B26" s="32" t="s">
        <v>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</row>
    <row r="27" spans="1:32" x14ac:dyDescent="0.4">
      <c r="A27" s="48">
        <v>14</v>
      </c>
      <c r="B27" s="48" t="s">
        <v>2</v>
      </c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1:32" x14ac:dyDescent="0.4">
      <c r="A28" s="32">
        <v>14</v>
      </c>
      <c r="B28" s="32" t="s">
        <v>2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</row>
    <row r="29" spans="1:32" x14ac:dyDescent="0.4">
      <c r="A29" s="48">
        <v>14</v>
      </c>
      <c r="B29" s="48" t="s">
        <v>2</v>
      </c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1:32" x14ac:dyDescent="0.4">
      <c r="A30" s="32">
        <v>14</v>
      </c>
      <c r="B30" s="32" t="s">
        <v>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</row>
    <row r="31" spans="1:32" x14ac:dyDescent="0.4">
      <c r="A31" s="48">
        <v>14</v>
      </c>
      <c r="B31" s="48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1:32" x14ac:dyDescent="0.4">
      <c r="A32" s="32">
        <v>14</v>
      </c>
      <c r="B32" s="32" t="s">
        <v>2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</row>
    <row r="33" spans="1:32" x14ac:dyDescent="0.4">
      <c r="A33" s="48">
        <v>14</v>
      </c>
      <c r="B33" s="48" t="s">
        <v>2</v>
      </c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1:32" x14ac:dyDescent="0.4">
      <c r="A34" s="32">
        <v>14</v>
      </c>
      <c r="B34" s="32" t="s">
        <v>2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</row>
    <row r="35" spans="1:32" x14ac:dyDescent="0.4">
      <c r="A35" s="48">
        <v>14</v>
      </c>
      <c r="B35" s="48" t="s">
        <v>2</v>
      </c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x14ac:dyDescent="0.4">
      <c r="A36" s="32">
        <v>14</v>
      </c>
      <c r="B36" s="45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</row>
    <row r="37" spans="1:32" x14ac:dyDescent="0.4">
      <c r="A37" s="48">
        <v>14</v>
      </c>
      <c r="B37" s="48" t="s">
        <v>2</v>
      </c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</sheetData>
  <mergeCells count="1">
    <mergeCell ref="C1:E1"/>
  </mergeCells>
  <phoneticPr fontId="3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823447-E6A2-43DC-8996-705F15C93110}">
  <sheetPr codeName="Sheet25"/>
  <dimension ref="A1:A8"/>
  <sheetViews>
    <sheetView workbookViewId="0">
      <selection activeCell="C30" sqref="C30"/>
    </sheetView>
  </sheetViews>
  <sheetFormatPr defaultRowHeight="18.75" x14ac:dyDescent="0.4"/>
  <sheetData>
    <row r="1" spans="1:1" x14ac:dyDescent="0.4">
      <c r="A1" cm="1">
        <f t="array" aca="1" ref="A1" ca="1">IF(F5="",0,_xlfn.XLOOKUP(MID(CELL("filename",$A$1),FIND("]",CELL("filename",$A$1))+1,31)&amp;F2&amp;F1,採点基準!#REF!,採点基準!#REF!,_xlfn.XLOOKUP(MID(CELL("filename",A1),FIND("]",CELL("filename",$A$1))+1,31)&amp;F2&amp;F1,採点基準!#REF!,採点基準!#REF!,_xlfn.XLOOKUP(MID(CELL("filename",$A$1),FIND("]",CELL("filename",$A$1))+1,31)&amp;F2&amp;F1,採点基準!#REF!,採点基準!#REF!))))</f>
        <v>0</v>
      </c>
    </row>
    <row r="2" spans="1:1" x14ac:dyDescent="0.4">
      <c r="A2" t="s">
        <v>53</v>
      </c>
    </row>
    <row r="5" spans="1:1" x14ac:dyDescent="0.4">
      <c r="A5" t="s">
        <v>54</v>
      </c>
    </row>
    <row r="6" spans="1:1" x14ac:dyDescent="0.4">
      <c r="A6" t="s">
        <v>55</v>
      </c>
    </row>
    <row r="7" spans="1:1" x14ac:dyDescent="0.4">
      <c r="A7" t="s">
        <v>56</v>
      </c>
    </row>
    <row r="8" spans="1:1" x14ac:dyDescent="0.4">
      <c r="A8" t="s">
        <v>57</v>
      </c>
    </row>
  </sheetData>
  <phoneticPr fontId="3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F269FA-725D-4CA6-A284-67E62CE03FEE}">
  <sheetPr codeName="Sheet24"/>
  <dimension ref="A1:AF37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A5" sqref="A5:B37"/>
    </sheetView>
  </sheetViews>
  <sheetFormatPr defaultRowHeight="12" x14ac:dyDescent="0.4"/>
  <cols>
    <col min="1" max="2" width="9" style="25"/>
    <col min="3" max="32" width="4.375" style="25" customWidth="1"/>
    <col min="33" max="16384" width="9" style="25"/>
  </cols>
  <sheetData>
    <row r="1" spans="1:32" x14ac:dyDescent="0.4">
      <c r="A1" s="47"/>
      <c r="B1" s="34" t="s">
        <v>21</v>
      </c>
      <c r="C1" s="51" t="s">
        <v>23</v>
      </c>
      <c r="D1" s="52"/>
      <c r="E1" s="53"/>
      <c r="F1" s="27"/>
      <c r="G1" s="27"/>
      <c r="H1" s="27"/>
      <c r="I1" s="27"/>
      <c r="J1" s="27"/>
      <c r="K1" s="27"/>
      <c r="L1" s="27"/>
      <c r="M1" s="28"/>
      <c r="N1" s="27"/>
      <c r="O1" s="27"/>
      <c r="P1" s="27"/>
      <c r="Q1" s="27"/>
      <c r="R1" s="27"/>
      <c r="S1" s="27"/>
      <c r="T1" s="27"/>
      <c r="U1" s="27"/>
      <c r="V1" s="28"/>
      <c r="W1" s="27"/>
      <c r="X1" s="27"/>
      <c r="Y1" s="27"/>
      <c r="Z1" s="27"/>
      <c r="AA1" s="27"/>
      <c r="AB1" s="27"/>
      <c r="AC1" s="27"/>
      <c r="AD1" s="27"/>
      <c r="AE1" s="27"/>
      <c r="AF1" s="28"/>
    </row>
    <row r="2" spans="1:32" ht="49.5" x14ac:dyDescent="0.4">
      <c r="B2" s="39" t="s">
        <v>22</v>
      </c>
      <c r="C2" s="40" t="s">
        <v>24</v>
      </c>
      <c r="D2" s="40" t="s">
        <v>25</v>
      </c>
      <c r="E2" s="40" t="s">
        <v>26</v>
      </c>
      <c r="F2" s="40"/>
      <c r="G2" s="40"/>
      <c r="H2" s="40"/>
      <c r="I2" s="40"/>
      <c r="J2" s="40"/>
      <c r="K2" s="40"/>
      <c r="L2" s="40"/>
      <c r="M2" s="40"/>
      <c r="N2" s="40"/>
      <c r="O2" s="40"/>
      <c r="P2" s="40"/>
      <c r="Q2" s="40"/>
      <c r="R2" s="40"/>
      <c r="S2" s="40"/>
      <c r="T2" s="40"/>
      <c r="U2" s="40"/>
      <c r="V2" s="40"/>
      <c r="W2" s="40"/>
      <c r="X2" s="40"/>
      <c r="Y2" s="40"/>
      <c r="Z2" s="40"/>
      <c r="AA2" s="40"/>
      <c r="AB2" s="40"/>
      <c r="AC2" s="40"/>
      <c r="AD2" s="40"/>
      <c r="AE2" s="40"/>
      <c r="AF2" s="40"/>
    </row>
    <row r="3" spans="1:32" x14ac:dyDescent="0.4">
      <c r="A3" s="46"/>
      <c r="B3" s="31" t="s">
        <v>51</v>
      </c>
      <c r="C3" s="36"/>
      <c r="D3" s="31"/>
      <c r="E3" s="31"/>
      <c r="F3" s="31"/>
      <c r="G3" s="31"/>
      <c r="H3" s="31"/>
      <c r="I3" s="31"/>
      <c r="J3" s="31"/>
      <c r="K3" s="31"/>
      <c r="L3" s="31"/>
      <c r="M3" s="31"/>
      <c r="N3" s="31"/>
      <c r="O3" s="31"/>
      <c r="P3" s="31"/>
      <c r="Q3" s="31"/>
      <c r="R3" s="31"/>
      <c r="S3" s="31"/>
      <c r="T3" s="31"/>
      <c r="U3" s="31"/>
      <c r="V3" s="31"/>
      <c r="W3" s="31"/>
      <c r="X3" s="31"/>
      <c r="Y3" s="31"/>
      <c r="Z3" s="31"/>
      <c r="AA3" s="31"/>
      <c r="AB3" s="31"/>
      <c r="AC3" s="31"/>
      <c r="AD3" s="31"/>
      <c r="AE3" s="31"/>
      <c r="AF3" s="31"/>
    </row>
    <row r="4" spans="1:32" x14ac:dyDescent="0.4">
      <c r="A4" s="46"/>
      <c r="B4" s="41" t="s">
        <v>52</v>
      </c>
      <c r="C4" s="42"/>
      <c r="D4" s="41"/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1"/>
      <c r="Q4" s="41"/>
      <c r="R4" s="41"/>
      <c r="S4" s="41"/>
      <c r="T4" s="41"/>
      <c r="U4" s="41"/>
      <c r="V4" s="41"/>
      <c r="W4" s="41"/>
      <c r="X4" s="41"/>
      <c r="Y4" s="41"/>
      <c r="Z4" s="41"/>
      <c r="AA4" s="41"/>
      <c r="AB4" s="41"/>
      <c r="AC4" s="41"/>
      <c r="AD4" s="41"/>
      <c r="AE4" s="41"/>
      <c r="AF4" s="41"/>
    </row>
    <row r="5" spans="1:32" x14ac:dyDescent="0.4">
      <c r="A5" s="13">
        <v>1</v>
      </c>
      <c r="B5" s="13" t="s">
        <v>2</v>
      </c>
      <c r="C5" s="48"/>
      <c r="D5" s="48"/>
      <c r="E5" s="48"/>
      <c r="F5" s="48"/>
      <c r="G5" s="48"/>
      <c r="H5" s="48"/>
      <c r="I5" s="48"/>
      <c r="J5" s="48"/>
      <c r="K5" s="48" t="s">
        <v>58</v>
      </c>
      <c r="L5" s="48"/>
      <c r="M5" s="48"/>
      <c r="N5" s="48"/>
      <c r="O5" s="48"/>
      <c r="P5" s="48"/>
      <c r="Q5" s="48"/>
      <c r="R5" s="48"/>
      <c r="S5" s="48"/>
      <c r="T5" s="48"/>
      <c r="U5" s="48"/>
      <c r="V5" s="48"/>
      <c r="W5" s="48"/>
      <c r="X5" s="48"/>
      <c r="Y5" s="48"/>
      <c r="Z5" s="48"/>
      <c r="AA5" s="48"/>
      <c r="AB5" s="48"/>
      <c r="AC5" s="48"/>
      <c r="AD5" s="48"/>
      <c r="AE5" s="48"/>
      <c r="AF5" s="48"/>
    </row>
    <row r="6" spans="1:32" x14ac:dyDescent="0.4">
      <c r="A6" s="13">
        <v>2</v>
      </c>
      <c r="B6" s="13" t="s">
        <v>2</v>
      </c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  <c r="V6" s="43"/>
      <c r="W6" s="43"/>
      <c r="X6" s="43"/>
      <c r="Y6" s="43"/>
      <c r="Z6" s="43"/>
      <c r="AA6" s="43"/>
      <c r="AB6" s="43"/>
      <c r="AC6" s="43"/>
      <c r="AD6" s="43"/>
      <c r="AE6" s="43"/>
      <c r="AF6" s="43"/>
    </row>
    <row r="7" spans="1:32" x14ac:dyDescent="0.4">
      <c r="A7" s="13">
        <v>3</v>
      </c>
      <c r="B7" s="13" t="s">
        <v>2</v>
      </c>
      <c r="C7" s="48"/>
      <c r="D7" s="48"/>
      <c r="E7" s="48"/>
      <c r="F7" s="48"/>
      <c r="G7" s="48"/>
      <c r="H7" s="48"/>
      <c r="I7" s="48"/>
      <c r="J7" s="48"/>
      <c r="K7" s="48"/>
      <c r="L7" s="48"/>
      <c r="M7" s="48"/>
      <c r="N7" s="48"/>
      <c r="O7" s="48"/>
      <c r="P7" s="48"/>
      <c r="Q7" s="48"/>
      <c r="R7" s="48"/>
      <c r="S7" s="48"/>
      <c r="T7" s="48"/>
      <c r="U7" s="48"/>
      <c r="V7" s="48"/>
      <c r="W7" s="48"/>
      <c r="X7" s="48"/>
      <c r="Y7" s="48"/>
      <c r="Z7" s="48"/>
      <c r="AA7" s="48"/>
      <c r="AB7" s="48"/>
      <c r="AC7" s="48"/>
      <c r="AD7" s="48"/>
      <c r="AE7" s="48"/>
      <c r="AF7" s="48"/>
    </row>
    <row r="8" spans="1:32" x14ac:dyDescent="0.4">
      <c r="A8" s="13">
        <v>4</v>
      </c>
      <c r="B8" s="13" t="s">
        <v>2</v>
      </c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  <c r="V8" s="43"/>
      <c r="W8" s="43"/>
      <c r="X8" s="43"/>
      <c r="Y8" s="43"/>
      <c r="Z8" s="43"/>
      <c r="AA8" s="43"/>
      <c r="AB8" s="43"/>
      <c r="AC8" s="43"/>
      <c r="AD8" s="43"/>
      <c r="AE8" s="43"/>
      <c r="AF8" s="43"/>
    </row>
    <row r="9" spans="1:32" x14ac:dyDescent="0.4">
      <c r="A9" s="13">
        <v>5</v>
      </c>
      <c r="B9" s="13" t="s">
        <v>2</v>
      </c>
      <c r="C9" s="48"/>
      <c r="D9" s="48"/>
      <c r="E9" s="48"/>
      <c r="F9" s="48"/>
      <c r="G9" s="48"/>
      <c r="H9" s="48"/>
      <c r="I9" s="48"/>
      <c r="J9" s="48"/>
      <c r="K9" s="48"/>
      <c r="L9" s="48"/>
      <c r="M9" s="48"/>
      <c r="N9" s="48"/>
      <c r="O9" s="48"/>
      <c r="P9" s="48"/>
      <c r="Q9" s="48"/>
      <c r="R9" s="48"/>
      <c r="S9" s="48"/>
      <c r="T9" s="48"/>
      <c r="U9" s="48"/>
      <c r="V9" s="48"/>
      <c r="W9" s="48"/>
      <c r="X9" s="48"/>
      <c r="Y9" s="48"/>
      <c r="Z9" s="48"/>
      <c r="AA9" s="48"/>
      <c r="AB9" s="48"/>
      <c r="AC9" s="48"/>
      <c r="AD9" s="48"/>
      <c r="AE9" s="48"/>
      <c r="AF9" s="48"/>
    </row>
    <row r="10" spans="1:32" x14ac:dyDescent="0.4">
      <c r="A10" s="13">
        <v>6</v>
      </c>
      <c r="B10" s="13" t="s">
        <v>2</v>
      </c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</row>
    <row r="11" spans="1:32" x14ac:dyDescent="0.4">
      <c r="A11" s="13">
        <v>7</v>
      </c>
      <c r="B11" s="13" t="s">
        <v>2</v>
      </c>
      <c r="C11" s="48"/>
      <c r="D11" s="48"/>
      <c r="E11" s="48"/>
      <c r="F11" s="48"/>
      <c r="G11" s="48"/>
      <c r="H11" s="48"/>
      <c r="I11" s="48"/>
      <c r="J11" s="48"/>
      <c r="K11" s="48"/>
      <c r="L11" s="48"/>
      <c r="M11" s="48"/>
      <c r="N11" s="48"/>
      <c r="O11" s="48"/>
      <c r="P11" s="48"/>
      <c r="Q11" s="48"/>
      <c r="R11" s="48"/>
      <c r="S11" s="48"/>
      <c r="T11" s="48"/>
      <c r="U11" s="48"/>
      <c r="V11" s="48"/>
      <c r="W11" s="48"/>
      <c r="X11" s="48"/>
      <c r="Y11" s="48"/>
      <c r="Z11" s="48"/>
      <c r="AA11" s="48"/>
      <c r="AB11" s="48"/>
      <c r="AC11" s="48"/>
      <c r="AD11" s="48"/>
      <c r="AE11" s="48"/>
      <c r="AF11" s="48"/>
    </row>
    <row r="12" spans="1:32" x14ac:dyDescent="0.4">
      <c r="A12" s="13">
        <v>8</v>
      </c>
      <c r="B12" s="13" t="s">
        <v>2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  <c r="V12" s="43"/>
      <c r="W12" s="43"/>
      <c r="X12" s="43"/>
      <c r="Y12" s="43"/>
      <c r="Z12" s="43"/>
      <c r="AA12" s="43"/>
      <c r="AB12" s="43"/>
      <c r="AC12" s="43"/>
      <c r="AD12" s="43"/>
      <c r="AE12" s="43"/>
      <c r="AF12" s="43"/>
    </row>
    <row r="13" spans="1:32" x14ac:dyDescent="0.4">
      <c r="A13" s="13">
        <v>9</v>
      </c>
      <c r="B13" s="13" t="s">
        <v>2</v>
      </c>
      <c r="C13" s="48"/>
      <c r="D13" s="48"/>
      <c r="E13" s="48"/>
      <c r="F13" s="48"/>
      <c r="G13" s="48"/>
      <c r="H13" s="48"/>
      <c r="I13" s="48"/>
      <c r="J13" s="48"/>
      <c r="K13" s="48"/>
      <c r="L13" s="48"/>
      <c r="M13" s="48"/>
      <c r="N13" s="48"/>
      <c r="O13" s="48"/>
      <c r="P13" s="48"/>
      <c r="Q13" s="48"/>
      <c r="R13" s="48"/>
      <c r="S13" s="48"/>
      <c r="T13" s="48"/>
      <c r="U13" s="48"/>
      <c r="V13" s="48"/>
      <c r="W13" s="48"/>
      <c r="X13" s="48"/>
      <c r="Y13" s="48"/>
      <c r="Z13" s="48"/>
      <c r="AA13" s="48"/>
      <c r="AB13" s="48"/>
      <c r="AC13" s="48"/>
      <c r="AD13" s="48"/>
      <c r="AE13" s="48"/>
      <c r="AF13" s="48"/>
    </row>
    <row r="14" spans="1:32" x14ac:dyDescent="0.4">
      <c r="A14" s="13">
        <v>10</v>
      </c>
      <c r="B14" s="13" t="s">
        <v>2</v>
      </c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  <c r="V14" s="43"/>
      <c r="W14" s="43"/>
      <c r="X14" s="43"/>
      <c r="Y14" s="43"/>
      <c r="Z14" s="43"/>
      <c r="AA14" s="43"/>
      <c r="AB14" s="43"/>
      <c r="AC14" s="43"/>
      <c r="AD14" s="43"/>
      <c r="AE14" s="43"/>
      <c r="AF14" s="43"/>
    </row>
    <row r="15" spans="1:32" x14ac:dyDescent="0.4">
      <c r="A15" s="13">
        <v>11</v>
      </c>
      <c r="B15" s="13" t="s">
        <v>2</v>
      </c>
      <c r="C15" s="48"/>
      <c r="D15" s="48"/>
      <c r="E15" s="48"/>
      <c r="F15" s="48"/>
      <c r="G15" s="48"/>
      <c r="H15" s="48"/>
      <c r="I15" s="48"/>
      <c r="J15" s="48"/>
      <c r="K15" s="48"/>
      <c r="L15" s="48"/>
      <c r="M15" s="48"/>
      <c r="N15" s="48"/>
      <c r="O15" s="48"/>
      <c r="P15" s="48"/>
      <c r="Q15" s="48"/>
      <c r="R15" s="48"/>
      <c r="S15" s="48"/>
      <c r="T15" s="48"/>
      <c r="U15" s="48"/>
      <c r="V15" s="48"/>
      <c r="W15" s="48"/>
      <c r="X15" s="48"/>
      <c r="Y15" s="48"/>
      <c r="Z15" s="48"/>
      <c r="AA15" s="48"/>
      <c r="AB15" s="48"/>
      <c r="AC15" s="48"/>
      <c r="AD15" s="48"/>
      <c r="AE15" s="48"/>
      <c r="AF15" s="48"/>
    </row>
    <row r="16" spans="1:32" x14ac:dyDescent="0.4">
      <c r="A16" s="13">
        <v>12</v>
      </c>
      <c r="B16" s="13" t="s">
        <v>2</v>
      </c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</row>
    <row r="17" spans="1:32" x14ac:dyDescent="0.4">
      <c r="A17" s="13">
        <v>13</v>
      </c>
      <c r="B17" s="13" t="s">
        <v>2</v>
      </c>
      <c r="C17" s="48"/>
      <c r="D17" s="48"/>
      <c r="E17" s="48"/>
      <c r="F17" s="48"/>
      <c r="G17" s="48"/>
      <c r="H17" s="48"/>
      <c r="I17" s="48"/>
      <c r="J17" s="48"/>
      <c r="K17" s="48"/>
      <c r="L17" s="48"/>
      <c r="M17" s="48"/>
      <c r="N17" s="48"/>
      <c r="O17" s="48"/>
      <c r="P17" s="48"/>
      <c r="Q17" s="48"/>
      <c r="R17" s="48"/>
      <c r="S17" s="48"/>
      <c r="T17" s="48"/>
      <c r="U17" s="48"/>
      <c r="V17" s="48"/>
      <c r="W17" s="48"/>
      <c r="X17" s="48"/>
      <c r="Y17" s="48"/>
      <c r="Z17" s="48"/>
      <c r="AA17" s="48"/>
      <c r="AB17" s="48"/>
      <c r="AC17" s="48"/>
      <c r="AD17" s="48"/>
      <c r="AE17" s="48"/>
      <c r="AF17" s="48"/>
    </row>
    <row r="18" spans="1:32" x14ac:dyDescent="0.4">
      <c r="A18" s="13">
        <v>14</v>
      </c>
      <c r="B18" s="13" t="s">
        <v>2</v>
      </c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  <c r="V18" s="43"/>
      <c r="W18" s="43"/>
      <c r="X18" s="43"/>
      <c r="Y18" s="43"/>
      <c r="Z18" s="43"/>
      <c r="AA18" s="43"/>
      <c r="AB18" s="43"/>
      <c r="AC18" s="43"/>
      <c r="AD18" s="43"/>
      <c r="AE18" s="43"/>
      <c r="AF18" s="43"/>
    </row>
    <row r="19" spans="1:32" x14ac:dyDescent="0.4">
      <c r="A19" s="13">
        <v>14</v>
      </c>
      <c r="B19" s="13" t="s">
        <v>2</v>
      </c>
      <c r="C19" s="48"/>
      <c r="D19" s="48"/>
      <c r="E19" s="48"/>
      <c r="F19" s="48"/>
      <c r="G19" s="48"/>
      <c r="H19" s="48"/>
      <c r="I19" s="48"/>
      <c r="J19" s="48"/>
      <c r="K19" s="48"/>
      <c r="L19" s="48"/>
      <c r="M19" s="48"/>
      <c r="N19" s="48"/>
      <c r="O19" s="48"/>
      <c r="P19" s="48"/>
      <c r="Q19" s="48"/>
      <c r="R19" s="48"/>
      <c r="S19" s="48"/>
      <c r="T19" s="48"/>
      <c r="U19" s="48"/>
      <c r="V19" s="48"/>
      <c r="W19" s="48"/>
      <c r="X19" s="48"/>
      <c r="Y19" s="48"/>
      <c r="Z19" s="48"/>
      <c r="AA19" s="48"/>
      <c r="AB19" s="48"/>
      <c r="AC19" s="48"/>
      <c r="AD19" s="48"/>
      <c r="AE19" s="48"/>
      <c r="AF19" s="48"/>
    </row>
    <row r="20" spans="1:32" x14ac:dyDescent="0.4">
      <c r="A20" s="13">
        <v>14</v>
      </c>
      <c r="B20" s="13" t="s">
        <v>2</v>
      </c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  <c r="V20" s="43"/>
      <c r="W20" s="43"/>
      <c r="X20" s="43"/>
      <c r="Y20" s="43"/>
      <c r="Z20" s="43"/>
      <c r="AA20" s="43"/>
      <c r="AB20" s="43"/>
      <c r="AC20" s="43"/>
      <c r="AD20" s="43"/>
      <c r="AE20" s="43"/>
      <c r="AF20" s="43"/>
    </row>
    <row r="21" spans="1:32" x14ac:dyDescent="0.4">
      <c r="A21" s="13">
        <v>14</v>
      </c>
      <c r="B21" s="13" t="s">
        <v>2</v>
      </c>
      <c r="C21" s="48"/>
      <c r="D21" s="48"/>
      <c r="E21" s="48"/>
      <c r="F21" s="48"/>
      <c r="G21" s="48"/>
      <c r="H21" s="48"/>
      <c r="I21" s="48"/>
      <c r="J21" s="48"/>
      <c r="K21" s="48"/>
      <c r="L21" s="48"/>
      <c r="M21" s="48"/>
      <c r="N21" s="48"/>
      <c r="O21" s="48"/>
      <c r="P21" s="48"/>
      <c r="Q21" s="48"/>
      <c r="R21" s="48"/>
      <c r="S21" s="48"/>
      <c r="T21" s="48"/>
      <c r="U21" s="48"/>
      <c r="V21" s="48"/>
      <c r="W21" s="48"/>
      <c r="X21" s="48"/>
      <c r="Y21" s="48"/>
      <c r="Z21" s="48"/>
      <c r="AA21" s="48"/>
      <c r="AB21" s="48"/>
      <c r="AC21" s="48"/>
      <c r="AD21" s="48"/>
      <c r="AE21" s="48"/>
      <c r="AF21" s="48"/>
    </row>
    <row r="22" spans="1:32" x14ac:dyDescent="0.4">
      <c r="A22" s="13">
        <v>14</v>
      </c>
      <c r="B22" s="13" t="s">
        <v>2</v>
      </c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</row>
    <row r="23" spans="1:32" x14ac:dyDescent="0.4">
      <c r="A23" s="13">
        <v>14</v>
      </c>
      <c r="B23" s="13" t="s">
        <v>2</v>
      </c>
      <c r="C23" s="48"/>
      <c r="D23" s="48"/>
      <c r="E23" s="48"/>
      <c r="F23" s="48"/>
      <c r="G23" s="48"/>
      <c r="H23" s="48"/>
      <c r="I23" s="48"/>
      <c r="J23" s="48"/>
      <c r="K23" s="48"/>
      <c r="L23" s="48"/>
      <c r="M23" s="48"/>
      <c r="N23" s="48"/>
      <c r="O23" s="48"/>
      <c r="P23" s="48"/>
      <c r="Q23" s="48"/>
      <c r="R23" s="48"/>
      <c r="S23" s="48"/>
      <c r="T23" s="48"/>
      <c r="U23" s="48"/>
      <c r="V23" s="48"/>
      <c r="W23" s="48"/>
      <c r="X23" s="48"/>
      <c r="Y23" s="48"/>
      <c r="Z23" s="48"/>
      <c r="AA23" s="48"/>
      <c r="AB23" s="48"/>
      <c r="AC23" s="48"/>
      <c r="AD23" s="48"/>
      <c r="AE23" s="48"/>
      <c r="AF23" s="48"/>
    </row>
    <row r="24" spans="1:32" x14ac:dyDescent="0.4">
      <c r="A24" s="13">
        <v>14</v>
      </c>
      <c r="B24" s="13" t="s">
        <v>2</v>
      </c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  <c r="V24" s="43"/>
      <c r="W24" s="43"/>
      <c r="X24" s="43"/>
      <c r="Y24" s="43"/>
      <c r="Z24" s="43"/>
      <c r="AA24" s="43"/>
      <c r="AB24" s="43"/>
      <c r="AC24" s="43"/>
      <c r="AD24" s="43"/>
      <c r="AE24" s="43"/>
      <c r="AF24" s="43"/>
    </row>
    <row r="25" spans="1:32" x14ac:dyDescent="0.4">
      <c r="A25" s="13">
        <v>14</v>
      </c>
      <c r="B25" s="13" t="s">
        <v>2</v>
      </c>
      <c r="C25" s="48"/>
      <c r="D25" s="48"/>
      <c r="E25" s="48"/>
      <c r="F25" s="48"/>
      <c r="G25" s="48"/>
      <c r="H25" s="48"/>
      <c r="I25" s="48"/>
      <c r="J25" s="48"/>
      <c r="K25" s="48"/>
      <c r="L25" s="48"/>
      <c r="M25" s="48"/>
      <c r="N25" s="48"/>
      <c r="O25" s="48"/>
      <c r="P25" s="48"/>
      <c r="Q25" s="48"/>
      <c r="R25" s="48"/>
      <c r="S25" s="48"/>
      <c r="T25" s="48"/>
      <c r="U25" s="48"/>
      <c r="V25" s="48"/>
      <c r="W25" s="48"/>
      <c r="X25" s="48"/>
      <c r="Y25" s="48"/>
      <c r="Z25" s="48"/>
      <c r="AA25" s="48"/>
      <c r="AB25" s="48"/>
      <c r="AC25" s="48"/>
      <c r="AD25" s="48"/>
      <c r="AE25" s="48"/>
      <c r="AF25" s="48"/>
    </row>
    <row r="26" spans="1:32" x14ac:dyDescent="0.4">
      <c r="A26" s="13">
        <v>14</v>
      </c>
      <c r="B26" s="13" t="s">
        <v>2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  <c r="V26" s="43"/>
      <c r="W26" s="43"/>
      <c r="X26" s="43"/>
      <c r="Y26" s="43"/>
      <c r="Z26" s="43"/>
      <c r="AA26" s="43"/>
      <c r="AB26" s="43"/>
      <c r="AC26" s="43"/>
      <c r="AD26" s="43"/>
      <c r="AE26" s="43"/>
      <c r="AF26" s="43"/>
    </row>
    <row r="27" spans="1:32" x14ac:dyDescent="0.4">
      <c r="A27" s="13">
        <v>14</v>
      </c>
      <c r="B27" s="13" t="s">
        <v>2</v>
      </c>
      <c r="C27" s="48"/>
      <c r="D27" s="48"/>
      <c r="E27" s="48"/>
      <c r="F27" s="48"/>
      <c r="G27" s="48"/>
      <c r="H27" s="48"/>
      <c r="I27" s="48"/>
      <c r="J27" s="48"/>
      <c r="K27" s="48"/>
      <c r="L27" s="48"/>
      <c r="M27" s="48"/>
      <c r="N27" s="48"/>
      <c r="O27" s="48"/>
      <c r="P27" s="48"/>
      <c r="Q27" s="48"/>
      <c r="R27" s="48"/>
      <c r="S27" s="48"/>
      <c r="T27" s="48"/>
      <c r="U27" s="48"/>
      <c r="V27" s="48"/>
      <c r="W27" s="48"/>
      <c r="X27" s="48"/>
      <c r="Y27" s="48"/>
      <c r="Z27" s="48"/>
      <c r="AA27" s="48"/>
      <c r="AB27" s="48"/>
      <c r="AC27" s="48"/>
      <c r="AD27" s="48"/>
      <c r="AE27" s="48"/>
      <c r="AF27" s="48"/>
    </row>
    <row r="28" spans="1:32" x14ac:dyDescent="0.4">
      <c r="A28" s="13">
        <v>14</v>
      </c>
      <c r="B28" s="13" t="s">
        <v>2</v>
      </c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</row>
    <row r="29" spans="1:32" x14ac:dyDescent="0.4">
      <c r="A29" s="13">
        <v>14</v>
      </c>
      <c r="B29" s="13" t="s">
        <v>2</v>
      </c>
      <c r="C29" s="48"/>
      <c r="D29" s="48"/>
      <c r="E29" s="48"/>
      <c r="F29" s="48"/>
      <c r="G29" s="48"/>
      <c r="H29" s="48"/>
      <c r="I29" s="48"/>
      <c r="J29" s="48"/>
      <c r="K29" s="48"/>
      <c r="L29" s="48"/>
      <c r="M29" s="48"/>
      <c r="N29" s="48"/>
      <c r="O29" s="48"/>
      <c r="P29" s="48"/>
      <c r="Q29" s="48"/>
      <c r="R29" s="48"/>
      <c r="S29" s="48"/>
      <c r="T29" s="48"/>
      <c r="U29" s="48"/>
      <c r="V29" s="48"/>
      <c r="W29" s="48"/>
      <c r="X29" s="48"/>
      <c r="Y29" s="48"/>
      <c r="Z29" s="48"/>
      <c r="AA29" s="48"/>
      <c r="AB29" s="48"/>
      <c r="AC29" s="48"/>
      <c r="AD29" s="48"/>
      <c r="AE29" s="48"/>
      <c r="AF29" s="48"/>
    </row>
    <row r="30" spans="1:32" x14ac:dyDescent="0.4">
      <c r="A30" s="13">
        <v>14</v>
      </c>
      <c r="B30" s="13" t="s">
        <v>2</v>
      </c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  <c r="V30" s="43"/>
      <c r="W30" s="43"/>
      <c r="X30" s="43"/>
      <c r="Y30" s="43"/>
      <c r="Z30" s="43"/>
      <c r="AA30" s="43"/>
      <c r="AB30" s="43"/>
      <c r="AC30" s="43"/>
      <c r="AD30" s="43"/>
      <c r="AE30" s="43"/>
      <c r="AF30" s="43"/>
    </row>
    <row r="31" spans="1:32" x14ac:dyDescent="0.4">
      <c r="A31" s="13">
        <v>14</v>
      </c>
      <c r="B31" s="26"/>
      <c r="C31" s="48"/>
      <c r="D31" s="48"/>
      <c r="E31" s="48"/>
      <c r="F31" s="48"/>
      <c r="G31" s="48"/>
      <c r="H31" s="48"/>
      <c r="I31" s="48"/>
      <c r="J31" s="48"/>
      <c r="K31" s="48"/>
      <c r="L31" s="48"/>
      <c r="M31" s="48"/>
      <c r="N31" s="48"/>
      <c r="O31" s="48"/>
      <c r="P31" s="48"/>
      <c r="Q31" s="48"/>
      <c r="R31" s="48"/>
      <c r="S31" s="48"/>
      <c r="T31" s="48"/>
      <c r="U31" s="48"/>
      <c r="V31" s="48"/>
      <c r="W31" s="48"/>
      <c r="X31" s="48"/>
      <c r="Y31" s="48"/>
      <c r="Z31" s="48"/>
      <c r="AA31" s="48"/>
      <c r="AB31" s="48"/>
      <c r="AC31" s="48"/>
      <c r="AD31" s="48"/>
      <c r="AE31" s="48"/>
      <c r="AF31" s="48"/>
    </row>
    <row r="32" spans="1:32" x14ac:dyDescent="0.4">
      <c r="A32" s="13">
        <v>14</v>
      </c>
      <c r="B32" s="13" t="s">
        <v>2</v>
      </c>
      <c r="C32" s="43"/>
      <c r="D32" s="43"/>
      <c r="E32" s="43"/>
      <c r="F32" s="43"/>
      <c r="G32" s="43"/>
      <c r="H32" s="43"/>
      <c r="I32" s="43"/>
      <c r="J32" s="43"/>
      <c r="K32" s="43"/>
      <c r="L32" s="43"/>
      <c r="M32" s="43"/>
      <c r="N32" s="43"/>
      <c r="O32" s="43"/>
      <c r="P32" s="43"/>
      <c r="Q32" s="43"/>
      <c r="R32" s="43"/>
      <c r="S32" s="43"/>
      <c r="T32" s="43"/>
      <c r="U32" s="43"/>
      <c r="V32" s="43"/>
      <c r="W32" s="43"/>
      <c r="X32" s="43"/>
      <c r="Y32" s="43"/>
      <c r="Z32" s="43"/>
      <c r="AA32" s="43"/>
      <c r="AB32" s="43"/>
      <c r="AC32" s="43"/>
      <c r="AD32" s="43"/>
      <c r="AE32" s="43"/>
      <c r="AF32" s="43"/>
    </row>
    <row r="33" spans="1:32" x14ac:dyDescent="0.4">
      <c r="A33" s="13">
        <v>14</v>
      </c>
      <c r="B33" s="13" t="s">
        <v>2</v>
      </c>
      <c r="C33" s="48"/>
      <c r="D33" s="48"/>
      <c r="E33" s="48"/>
      <c r="F33" s="48"/>
      <c r="G33" s="48"/>
      <c r="H33" s="48"/>
      <c r="I33" s="48"/>
      <c r="J33" s="48"/>
      <c r="K33" s="48"/>
      <c r="L33" s="48"/>
      <c r="M33" s="48"/>
      <c r="N33" s="48"/>
      <c r="O33" s="48"/>
      <c r="P33" s="48"/>
      <c r="Q33" s="48"/>
      <c r="R33" s="48"/>
      <c r="S33" s="48"/>
      <c r="T33" s="48"/>
      <c r="U33" s="48"/>
      <c r="V33" s="48"/>
      <c r="W33" s="48"/>
      <c r="X33" s="48"/>
      <c r="Y33" s="48"/>
      <c r="Z33" s="48"/>
      <c r="AA33" s="48"/>
      <c r="AB33" s="48"/>
      <c r="AC33" s="48"/>
      <c r="AD33" s="48"/>
      <c r="AE33" s="48"/>
      <c r="AF33" s="48"/>
    </row>
    <row r="34" spans="1:32" x14ac:dyDescent="0.4">
      <c r="A34" s="13">
        <v>14</v>
      </c>
      <c r="B34" s="13" t="s">
        <v>2</v>
      </c>
      <c r="C34" s="43"/>
      <c r="D34" s="43"/>
      <c r="E34" s="43"/>
      <c r="F34" s="43"/>
      <c r="G34" s="43"/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</row>
    <row r="35" spans="1:32" x14ac:dyDescent="0.4">
      <c r="A35" s="13">
        <v>14</v>
      </c>
      <c r="B35" s="13" t="s">
        <v>2</v>
      </c>
      <c r="C35" s="48"/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x14ac:dyDescent="0.4">
      <c r="A36" s="13">
        <v>14</v>
      </c>
      <c r="B36" s="26"/>
      <c r="C36" s="43"/>
      <c r="D36" s="43"/>
      <c r="E36" s="43"/>
      <c r="F36" s="43"/>
      <c r="G36" s="43"/>
      <c r="H36" s="43"/>
      <c r="I36" s="43"/>
      <c r="J36" s="43"/>
      <c r="K36" s="43"/>
      <c r="L36" s="43"/>
      <c r="M36" s="43"/>
      <c r="N36" s="43"/>
      <c r="O36" s="43"/>
      <c r="P36" s="43"/>
      <c r="Q36" s="43"/>
      <c r="R36" s="43"/>
      <c r="S36" s="43"/>
      <c r="T36" s="43"/>
      <c r="U36" s="43"/>
      <c r="V36" s="43"/>
      <c r="W36" s="43"/>
      <c r="X36" s="43"/>
      <c r="Y36" s="43"/>
      <c r="Z36" s="43"/>
      <c r="AA36" s="43"/>
      <c r="AB36" s="43"/>
      <c r="AC36" s="43"/>
      <c r="AD36" s="43"/>
      <c r="AE36" s="43"/>
      <c r="AF36" s="43"/>
    </row>
    <row r="37" spans="1:32" x14ac:dyDescent="0.4">
      <c r="A37" s="13">
        <v>14</v>
      </c>
      <c r="B37" s="13" t="s">
        <v>2</v>
      </c>
      <c r="C37" s="48"/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/>
      <c r="P37" s="48"/>
      <c r="Q37" s="48"/>
      <c r="R37" s="48"/>
      <c r="S37" s="48"/>
      <c r="T37" s="48"/>
      <c r="U37" s="48"/>
      <c r="V37" s="48"/>
      <c r="W37" s="48"/>
      <c r="X37" s="48"/>
      <c r="Y37" s="48"/>
      <c r="Z37" s="48"/>
      <c r="AA37" s="48"/>
      <c r="AB37" s="48"/>
      <c r="AC37" s="48"/>
      <c r="AD37" s="48"/>
      <c r="AE37" s="48"/>
      <c r="AF37" s="48"/>
    </row>
  </sheetData>
  <mergeCells count="1">
    <mergeCell ref="C1:E1"/>
  </mergeCells>
  <phoneticPr fontId="3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設定</vt:lpstr>
      <vt:lpstr>設定 (2)</vt:lpstr>
      <vt:lpstr>採点基準</vt:lpstr>
      <vt:lpstr>国語</vt:lpstr>
      <vt:lpstr>DeveloperMemo</vt:lpstr>
      <vt:lpstr>算数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kun musou</dc:creator>
  <cp:lastModifiedBy>kun musou</cp:lastModifiedBy>
  <dcterms:created xsi:type="dcterms:W3CDTF">2023-03-03T13:45:38Z</dcterms:created>
  <dcterms:modified xsi:type="dcterms:W3CDTF">2023-03-15T22:53:21Z</dcterms:modified>
</cp:coreProperties>
</file>