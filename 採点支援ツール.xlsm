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FE0B81DB-55A9-4DF0-919F-CC2A90C74CA2}" xr6:coauthVersionLast="47" xr6:coauthVersionMax="47" xr10:uidLastSave="{00000000-0000-0000-0000-000000000000}"/>
  <bookViews>
    <workbookView xWindow="-120" yWindow="-120" windowWidth="29040" windowHeight="15720" tabRatio="776" activeTab="9" xr2:uid="{A21CF5A8-1970-4B84-8123-57BC29D37732}"/>
  </bookViews>
  <sheets>
    <sheet name="生徒氏名設定" sheetId="93" r:id="rId1"/>
    <sheet name="評価項目設定" sheetId="92" r:id="rId2"/>
    <sheet name="その他設定" sheetId="1" r:id="rId3"/>
    <sheet name="設定 (2)" sheetId="30" state="hidden" r:id="rId4"/>
    <sheet name="DeveloperMemo" sheetId="91" state="hidden" r:id="rId5"/>
    <sheet name="生徒氏名設定 (2)" sheetId="94" state="hidden" r:id="rId6"/>
    <sheet name="評価項目設定 (2)" sheetId="95" state="hidden" r:id="rId7"/>
    <sheet name="その他設定 (2)" sheetId="96" state="hidden" r:id="rId8"/>
    <sheet name="採点基準 (2)" sheetId="97" state="hidden" r:id="rId9"/>
    <sheet name="採点基準_観点別" sheetId="107" r:id="rId10"/>
    <sheet name="採点基準_単元別" sheetId="106" r:id="rId11"/>
    <sheet name="国語" sheetId="105" r:id="rId12"/>
    <sheet name="算数" sheetId="108" r:id="rId13"/>
    <sheet name="理科" sheetId="109" r:id="rId14"/>
  </sheets>
  <functionGroups builtInGroupCount="19"/>
  <definedNames>
    <definedName name="_xlnm._FilterDatabase" localSheetId="2" hidden="1">その他設定!$A$2:$B$38</definedName>
    <definedName name="_xlnm._FilterDatabase" localSheetId="7" hidden="1">'その他設定 (2)'!$A$2:$B$38</definedName>
    <definedName name="_xlnm._FilterDatabase" localSheetId="8" hidden="1">'採点基準 (2)'!$B$2:$Q$14</definedName>
    <definedName name="_xlnm._FilterDatabase" localSheetId="10" hidden="1">採点基準_単元別!$B$2:$Q$2</definedName>
    <definedName name="_xlnm._FilterDatabase" localSheetId="3" hidden="1">'設定 (2)'!$C$2:$D$45</definedName>
    <definedName name="_xlnm._FilterDatabase" localSheetId="1" hidden="1">評価項目設定!$A$1:$C$50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07" l="1"/>
  <c r="F10" i="107"/>
  <c r="F9" i="107"/>
  <c r="F8" i="107"/>
  <c r="F7" i="107"/>
  <c r="F6" i="107"/>
  <c r="F5" i="107"/>
  <c r="F4" i="107"/>
  <c r="F3" i="107"/>
  <c r="T20" i="106"/>
  <c r="S20" i="106"/>
  <c r="R20" i="106"/>
  <c r="T19" i="106"/>
  <c r="S19" i="106"/>
  <c r="R19" i="106"/>
  <c r="T18" i="106"/>
  <c r="S18" i="106"/>
  <c r="R18" i="106"/>
  <c r="T17" i="106"/>
  <c r="S17" i="106"/>
  <c r="R17" i="106"/>
  <c r="T16" i="106"/>
  <c r="S16" i="106"/>
  <c r="R16" i="106"/>
  <c r="T15" i="106"/>
  <c r="S15" i="106"/>
  <c r="R15" i="106"/>
  <c r="T14" i="106"/>
  <c r="S14" i="106"/>
  <c r="R14" i="106"/>
  <c r="T13" i="106"/>
  <c r="S13" i="106"/>
  <c r="R13" i="106"/>
  <c r="T12" i="106"/>
  <c r="S12" i="106"/>
  <c r="R12" i="106"/>
  <c r="T11" i="106"/>
  <c r="S11" i="106"/>
  <c r="R11" i="106"/>
  <c r="T10" i="106"/>
  <c r="S10" i="106"/>
  <c r="R10" i="106"/>
  <c r="T9" i="106"/>
  <c r="S9" i="106"/>
  <c r="R9" i="106"/>
  <c r="T8" i="106"/>
  <c r="S8" i="106"/>
  <c r="R8" i="106"/>
  <c r="T7" i="106"/>
  <c r="S7" i="106"/>
  <c r="R7" i="106"/>
  <c r="T6" i="106"/>
  <c r="S6" i="106"/>
  <c r="R6" i="106"/>
  <c r="T5" i="106"/>
  <c r="S5" i="106"/>
  <c r="R5" i="106"/>
  <c r="T4" i="106"/>
  <c r="S4" i="106"/>
  <c r="R4" i="106"/>
  <c r="T3" i="106"/>
  <c r="S3" i="106"/>
  <c r="R3" i="106"/>
  <c r="X3" i="105" a="1"/>
  <c r="X3" i="105" s="1"/>
  <c r="X37" i="109"/>
  <c r="Y37" i="109" s="1"/>
  <c r="Z37" i="109" s="1" a="1"/>
  <c r="Z37" i="109" s="1"/>
  <c r="X36" i="109"/>
  <c r="Y36" i="109" s="1"/>
  <c r="Z36" i="109" s="1" a="1"/>
  <c r="Z36" i="109" s="1"/>
  <c r="X35" i="109"/>
  <c r="Y35" i="109" s="1"/>
  <c r="Z35" i="109" s="1" a="1"/>
  <c r="Z35" i="109" s="1"/>
  <c r="X34" i="109"/>
  <c r="Y34" i="109" s="1"/>
  <c r="Z34" i="109" s="1" a="1"/>
  <c r="Z34" i="109" s="1"/>
  <c r="X33" i="109"/>
  <c r="Y33" i="109" s="1"/>
  <c r="Z33" i="109" s="1" a="1"/>
  <c r="Z33" i="109" s="1"/>
  <c r="X32" i="109"/>
  <c r="Y32" i="109" s="1"/>
  <c r="Z32" i="109" s="1" a="1"/>
  <c r="Z32" i="109" s="1"/>
  <c r="X31" i="109"/>
  <c r="Y31" i="109" s="1"/>
  <c r="Z31" i="109" s="1" a="1"/>
  <c r="Z31" i="109" s="1"/>
  <c r="X30" i="109"/>
  <c r="Y30" i="109" s="1"/>
  <c r="Z30" i="109" s="1" a="1"/>
  <c r="Z30" i="109" s="1"/>
  <c r="X29" i="109"/>
  <c r="Y29" i="109" s="1"/>
  <c r="Z29" i="109" s="1" a="1"/>
  <c r="Z29" i="109" s="1"/>
  <c r="X28" i="109"/>
  <c r="Y28" i="109" s="1"/>
  <c r="Z28" i="109" s="1" a="1"/>
  <c r="Z28" i="109" s="1"/>
  <c r="X27" i="109"/>
  <c r="Y27" i="109" s="1"/>
  <c r="Z27" i="109" s="1" a="1"/>
  <c r="Z27" i="109" s="1"/>
  <c r="X26" i="109"/>
  <c r="Y26" i="109" s="1"/>
  <c r="Z26" i="109" s="1" a="1"/>
  <c r="Z26" i="109" s="1"/>
  <c r="X25" i="109"/>
  <c r="Y25" i="109" s="1"/>
  <c r="Z25" i="109" s="1" a="1"/>
  <c r="Z25" i="109" s="1"/>
  <c r="X24" i="109"/>
  <c r="Y24" i="109" s="1"/>
  <c r="Z24" i="109" s="1" a="1"/>
  <c r="Z24" i="109" s="1"/>
  <c r="X23" i="109"/>
  <c r="Y23" i="109" s="1"/>
  <c r="Z23" i="109" s="1" a="1"/>
  <c r="Z23" i="109" s="1"/>
  <c r="X22" i="109"/>
  <c r="Y22" i="109" s="1"/>
  <c r="Z22" i="109" s="1" a="1"/>
  <c r="Z22" i="109" s="1"/>
  <c r="X21" i="109"/>
  <c r="Y21" i="109" s="1"/>
  <c r="Z21" i="109" s="1" a="1"/>
  <c r="Z21" i="109" s="1"/>
  <c r="X20" i="109"/>
  <c r="Y20" i="109" s="1"/>
  <c r="Z20" i="109" s="1" a="1"/>
  <c r="Z20" i="109" s="1"/>
  <c r="X19" i="109"/>
  <c r="Y19" i="109" s="1"/>
  <c r="Z19" i="109" s="1" a="1"/>
  <c r="Z19" i="109" s="1"/>
  <c r="X18" i="109"/>
  <c r="Y18" i="109" s="1"/>
  <c r="Z18" i="109" s="1" a="1"/>
  <c r="Z18" i="109" s="1"/>
  <c r="X17" i="109"/>
  <c r="Y17" i="109" s="1"/>
  <c r="Z17" i="109" s="1" a="1"/>
  <c r="Z17" i="109" s="1"/>
  <c r="X16" i="109"/>
  <c r="Y16" i="109" s="1"/>
  <c r="Z16" i="109" s="1" a="1"/>
  <c r="Z16" i="109" s="1"/>
  <c r="X15" i="109"/>
  <c r="Y15" i="109" s="1"/>
  <c r="Z15" i="109" s="1" a="1"/>
  <c r="Z15" i="109" s="1"/>
  <c r="X14" i="109"/>
  <c r="Y14" i="109" s="1"/>
  <c r="Z14" i="109" s="1" a="1"/>
  <c r="Z14" i="109" s="1"/>
  <c r="X13" i="109"/>
  <c r="Y13" i="109" s="1"/>
  <c r="Z13" i="109" s="1" a="1"/>
  <c r="Z13" i="109" s="1"/>
  <c r="X12" i="109"/>
  <c r="Y12" i="109" s="1"/>
  <c r="Z12" i="109" s="1" a="1"/>
  <c r="Z12" i="109" s="1"/>
  <c r="X11" i="109"/>
  <c r="Y11" i="109" s="1"/>
  <c r="Z11" i="109" s="1" a="1"/>
  <c r="Z11" i="109" s="1"/>
  <c r="X10" i="109"/>
  <c r="Y10" i="109" s="1"/>
  <c r="Z10" i="109" s="1" a="1"/>
  <c r="Z10" i="109" s="1"/>
  <c r="X9" i="109"/>
  <c r="Y9" i="109" s="1"/>
  <c r="Z9" i="109" s="1" a="1"/>
  <c r="Z9" i="109" s="1"/>
  <c r="X8" i="109"/>
  <c r="Y8" i="109" s="1"/>
  <c r="Z8" i="109" s="1" a="1"/>
  <c r="Z8" i="109" s="1"/>
  <c r="X7" i="109"/>
  <c r="Y7" i="109" s="1"/>
  <c r="Z7" i="109" s="1" a="1"/>
  <c r="Z7" i="109" s="1"/>
  <c r="X6" i="109"/>
  <c r="Y6" i="109" s="1"/>
  <c r="Z6" i="109" s="1" a="1"/>
  <c r="Z6" i="109" s="1"/>
  <c r="Y5" i="109"/>
  <c r="Z5" i="109" s="1" a="1"/>
  <c r="Z5" i="109" s="1"/>
  <c r="X5" i="109"/>
  <c r="T37" i="109"/>
  <c r="U37" i="109" s="1"/>
  <c r="V37" i="109" s="1" a="1"/>
  <c r="V37" i="109" s="1"/>
  <c r="T36" i="109"/>
  <c r="U36" i="109" s="1"/>
  <c r="V36" i="109" s="1" a="1"/>
  <c r="V36" i="109" s="1"/>
  <c r="T35" i="109"/>
  <c r="U35" i="109" s="1"/>
  <c r="V35" i="109" s="1" a="1"/>
  <c r="V35" i="109" s="1"/>
  <c r="T34" i="109"/>
  <c r="U34" i="109" s="1"/>
  <c r="V34" i="109" s="1" a="1"/>
  <c r="V34" i="109" s="1"/>
  <c r="T33" i="109"/>
  <c r="U33" i="109" s="1"/>
  <c r="V33" i="109" s="1" a="1"/>
  <c r="V33" i="109" s="1"/>
  <c r="T32" i="109"/>
  <c r="U32" i="109" s="1"/>
  <c r="V32" i="109" s="1" a="1"/>
  <c r="V32" i="109" s="1"/>
  <c r="T31" i="109"/>
  <c r="U31" i="109" s="1"/>
  <c r="V31" i="109" s="1" a="1"/>
  <c r="V31" i="109" s="1"/>
  <c r="T30" i="109"/>
  <c r="U30" i="109" s="1"/>
  <c r="V30" i="109" s="1" a="1"/>
  <c r="V30" i="109" s="1"/>
  <c r="T29" i="109"/>
  <c r="U29" i="109" s="1"/>
  <c r="V29" i="109" s="1" a="1"/>
  <c r="V29" i="109" s="1"/>
  <c r="T28" i="109"/>
  <c r="U28" i="109" s="1"/>
  <c r="V28" i="109" s="1" a="1"/>
  <c r="V28" i="109" s="1"/>
  <c r="T27" i="109"/>
  <c r="U27" i="109" s="1"/>
  <c r="V27" i="109" s="1" a="1"/>
  <c r="V27" i="109" s="1"/>
  <c r="T26" i="109"/>
  <c r="U26" i="109" s="1"/>
  <c r="V26" i="109" s="1" a="1"/>
  <c r="V26" i="109" s="1"/>
  <c r="T25" i="109"/>
  <c r="U25" i="109" s="1"/>
  <c r="V25" i="109" s="1" a="1"/>
  <c r="V25" i="109" s="1"/>
  <c r="T24" i="109"/>
  <c r="U24" i="109" s="1"/>
  <c r="V24" i="109" s="1" a="1"/>
  <c r="V24" i="109" s="1"/>
  <c r="T23" i="109"/>
  <c r="U23" i="109" s="1"/>
  <c r="V23" i="109" s="1" a="1"/>
  <c r="V23" i="109" s="1"/>
  <c r="T22" i="109"/>
  <c r="U22" i="109" s="1"/>
  <c r="V22" i="109" s="1" a="1"/>
  <c r="V22" i="109" s="1"/>
  <c r="T21" i="109"/>
  <c r="U21" i="109" s="1"/>
  <c r="V21" i="109" s="1" a="1"/>
  <c r="V21" i="109" s="1"/>
  <c r="T20" i="109"/>
  <c r="U20" i="109" s="1"/>
  <c r="V20" i="109" s="1" a="1"/>
  <c r="V20" i="109" s="1"/>
  <c r="T19" i="109"/>
  <c r="U19" i="109" s="1"/>
  <c r="V19" i="109" s="1" a="1"/>
  <c r="V19" i="109" s="1"/>
  <c r="T18" i="109"/>
  <c r="U18" i="109" s="1"/>
  <c r="V18" i="109" s="1" a="1"/>
  <c r="V18" i="109" s="1"/>
  <c r="T17" i="109"/>
  <c r="U17" i="109" s="1"/>
  <c r="V17" i="109" s="1" a="1"/>
  <c r="V17" i="109" s="1"/>
  <c r="T16" i="109"/>
  <c r="U16" i="109" s="1"/>
  <c r="V16" i="109" s="1" a="1"/>
  <c r="V16" i="109" s="1"/>
  <c r="T15" i="109"/>
  <c r="U15" i="109" s="1"/>
  <c r="V15" i="109" s="1" a="1"/>
  <c r="V15" i="109" s="1"/>
  <c r="T14" i="109"/>
  <c r="U14" i="109" s="1"/>
  <c r="V14" i="109" s="1" a="1"/>
  <c r="V14" i="109" s="1"/>
  <c r="T13" i="109"/>
  <c r="U13" i="109" s="1"/>
  <c r="V13" i="109" s="1" a="1"/>
  <c r="V13" i="109" s="1"/>
  <c r="T12" i="109"/>
  <c r="U12" i="109" s="1"/>
  <c r="V12" i="109" s="1" a="1"/>
  <c r="V12" i="109" s="1"/>
  <c r="T11" i="109"/>
  <c r="U11" i="109" s="1"/>
  <c r="V11" i="109" s="1" a="1"/>
  <c r="V11" i="109" s="1"/>
  <c r="T10" i="109"/>
  <c r="U10" i="109" s="1"/>
  <c r="V10" i="109" s="1" a="1"/>
  <c r="V10" i="109" s="1"/>
  <c r="T9" i="109"/>
  <c r="U9" i="109" s="1"/>
  <c r="V9" i="109" s="1" a="1"/>
  <c r="V9" i="109" s="1"/>
  <c r="T8" i="109"/>
  <c r="U8" i="109" s="1"/>
  <c r="V8" i="109" s="1" a="1"/>
  <c r="V8" i="109" s="1"/>
  <c r="T7" i="109"/>
  <c r="U7" i="109" s="1"/>
  <c r="V7" i="109" s="1" a="1"/>
  <c r="V7" i="109" s="1"/>
  <c r="T6" i="109"/>
  <c r="U6" i="109" s="1"/>
  <c r="V6" i="109" s="1" a="1"/>
  <c r="V6" i="109" s="1"/>
  <c r="U5" i="109"/>
  <c r="V5" i="109" s="1" a="1"/>
  <c r="V5" i="109" s="1"/>
  <c r="T5" i="109"/>
  <c r="K37" i="109"/>
  <c r="L37" i="109" s="1"/>
  <c r="M37" i="109" s="1" a="1"/>
  <c r="M37" i="109" s="1"/>
  <c r="K36" i="109"/>
  <c r="L36" i="109" s="1"/>
  <c r="M36" i="109" s="1" a="1"/>
  <c r="M36" i="109" s="1"/>
  <c r="K35" i="109"/>
  <c r="L35" i="109" s="1"/>
  <c r="M35" i="109" s="1" a="1"/>
  <c r="M35" i="109" s="1"/>
  <c r="K34" i="109"/>
  <c r="L34" i="109" s="1"/>
  <c r="M34" i="109" s="1" a="1"/>
  <c r="M34" i="109" s="1"/>
  <c r="K33" i="109"/>
  <c r="L33" i="109" s="1"/>
  <c r="M33" i="109" s="1" a="1"/>
  <c r="M33" i="109" s="1"/>
  <c r="K32" i="109"/>
  <c r="L32" i="109" s="1"/>
  <c r="M32" i="109" s="1" a="1"/>
  <c r="M32" i="109" s="1"/>
  <c r="K31" i="109"/>
  <c r="L31" i="109" s="1"/>
  <c r="M31" i="109" s="1" a="1"/>
  <c r="M31" i="109" s="1"/>
  <c r="K30" i="109"/>
  <c r="L30" i="109" s="1"/>
  <c r="M30" i="109" s="1" a="1"/>
  <c r="M30" i="109" s="1"/>
  <c r="K29" i="109"/>
  <c r="L29" i="109" s="1"/>
  <c r="M29" i="109" s="1" a="1"/>
  <c r="M29" i="109" s="1"/>
  <c r="K28" i="109"/>
  <c r="L28" i="109" s="1"/>
  <c r="M28" i="109" s="1" a="1"/>
  <c r="M28" i="109" s="1"/>
  <c r="K27" i="109"/>
  <c r="L27" i="109" s="1"/>
  <c r="M27" i="109" s="1" a="1"/>
  <c r="M27" i="109" s="1"/>
  <c r="K26" i="109"/>
  <c r="L26" i="109" s="1"/>
  <c r="M26" i="109" s="1" a="1"/>
  <c r="M26" i="109" s="1"/>
  <c r="K25" i="109"/>
  <c r="L25" i="109" s="1"/>
  <c r="M25" i="109" s="1" a="1"/>
  <c r="M25" i="109" s="1"/>
  <c r="K24" i="109"/>
  <c r="L24" i="109" s="1"/>
  <c r="M24" i="109" s="1" a="1"/>
  <c r="M24" i="109" s="1"/>
  <c r="K23" i="109"/>
  <c r="L23" i="109" s="1"/>
  <c r="M23" i="109" s="1" a="1"/>
  <c r="M23" i="109" s="1"/>
  <c r="K22" i="109"/>
  <c r="L22" i="109" s="1"/>
  <c r="M22" i="109" s="1" a="1"/>
  <c r="M22" i="109" s="1"/>
  <c r="K21" i="109"/>
  <c r="L21" i="109" s="1"/>
  <c r="M21" i="109" s="1" a="1"/>
  <c r="M21" i="109" s="1"/>
  <c r="K20" i="109"/>
  <c r="L20" i="109" s="1"/>
  <c r="M20" i="109" s="1" a="1"/>
  <c r="M20" i="109" s="1"/>
  <c r="K19" i="109"/>
  <c r="L19" i="109" s="1"/>
  <c r="M19" i="109" s="1" a="1"/>
  <c r="M19" i="109" s="1"/>
  <c r="K18" i="109"/>
  <c r="L18" i="109" s="1"/>
  <c r="M18" i="109" s="1" a="1"/>
  <c r="M18" i="109" s="1"/>
  <c r="K17" i="109"/>
  <c r="L17" i="109" s="1"/>
  <c r="M17" i="109" s="1" a="1"/>
  <c r="M17" i="109" s="1"/>
  <c r="K16" i="109"/>
  <c r="L16" i="109" s="1"/>
  <c r="M16" i="109" s="1" a="1"/>
  <c r="M16" i="109" s="1"/>
  <c r="K15" i="109"/>
  <c r="L15" i="109" s="1"/>
  <c r="M15" i="109" s="1" a="1"/>
  <c r="M15" i="109" s="1"/>
  <c r="K14" i="109"/>
  <c r="L14" i="109" s="1"/>
  <c r="M14" i="109" s="1" a="1"/>
  <c r="M14" i="109" s="1"/>
  <c r="K13" i="109"/>
  <c r="L13" i="109" s="1"/>
  <c r="M13" i="109" s="1" a="1"/>
  <c r="M13" i="109" s="1"/>
  <c r="K12" i="109"/>
  <c r="L12" i="109" s="1"/>
  <c r="M12" i="109" s="1" a="1"/>
  <c r="M12" i="109" s="1"/>
  <c r="K11" i="109"/>
  <c r="L11" i="109" s="1"/>
  <c r="M11" i="109" s="1" a="1"/>
  <c r="M11" i="109" s="1"/>
  <c r="K10" i="109"/>
  <c r="L10" i="109" s="1"/>
  <c r="M10" i="109" s="1" a="1"/>
  <c r="M10" i="109" s="1"/>
  <c r="K9" i="109"/>
  <c r="L9" i="109" s="1"/>
  <c r="M9" i="109" s="1" a="1"/>
  <c r="M9" i="109" s="1"/>
  <c r="K8" i="109"/>
  <c r="L8" i="109" s="1"/>
  <c r="M8" i="109" s="1" a="1"/>
  <c r="M8" i="109" s="1"/>
  <c r="K7" i="109"/>
  <c r="L7" i="109" s="1"/>
  <c r="M7" i="109" s="1" a="1"/>
  <c r="M7" i="109" s="1"/>
  <c r="K6" i="109"/>
  <c r="L6" i="109" s="1"/>
  <c r="M6" i="109" s="1" a="1"/>
  <c r="M6" i="109" s="1"/>
  <c r="L5" i="109"/>
  <c r="M5" i="109" s="1" a="1"/>
  <c r="M5" i="109" s="1"/>
  <c r="K5" i="109"/>
  <c r="AD37" i="108"/>
  <c r="AE37" i="108" s="1"/>
  <c r="AF37" i="108" s="1" a="1"/>
  <c r="AF37" i="108" s="1"/>
  <c r="AD36" i="108"/>
  <c r="AE36" i="108" s="1"/>
  <c r="AF36" i="108" s="1" a="1"/>
  <c r="AF36" i="108" s="1"/>
  <c r="AD35" i="108"/>
  <c r="AE35" i="108" s="1"/>
  <c r="AF35" i="108" s="1" a="1"/>
  <c r="AF35" i="108" s="1"/>
  <c r="AD34" i="108"/>
  <c r="AE34" i="108" s="1"/>
  <c r="AF34" i="108" s="1" a="1"/>
  <c r="AF34" i="108" s="1"/>
  <c r="AD33" i="108"/>
  <c r="AE33" i="108" s="1"/>
  <c r="AF33" i="108" s="1" a="1"/>
  <c r="AF33" i="108" s="1"/>
  <c r="AD32" i="108"/>
  <c r="AE32" i="108" s="1"/>
  <c r="AF32" i="108" s="1" a="1"/>
  <c r="AF32" i="108" s="1"/>
  <c r="AD31" i="108"/>
  <c r="AE31" i="108" s="1"/>
  <c r="AF31" i="108" s="1" a="1"/>
  <c r="AF31" i="108" s="1"/>
  <c r="AD30" i="108"/>
  <c r="AE30" i="108" s="1"/>
  <c r="AF30" i="108" s="1" a="1"/>
  <c r="AF30" i="108" s="1"/>
  <c r="AD29" i="108"/>
  <c r="AE29" i="108" s="1"/>
  <c r="AF29" i="108" s="1" a="1"/>
  <c r="AF29" i="108" s="1"/>
  <c r="AD28" i="108"/>
  <c r="AE28" i="108" s="1"/>
  <c r="AF28" i="108" s="1" a="1"/>
  <c r="AF28" i="108" s="1"/>
  <c r="AD27" i="108"/>
  <c r="AE27" i="108" s="1"/>
  <c r="AF27" i="108" s="1" a="1"/>
  <c r="AF27" i="108" s="1"/>
  <c r="AD26" i="108"/>
  <c r="AE26" i="108" s="1"/>
  <c r="AF26" i="108" s="1" a="1"/>
  <c r="AF26" i="108" s="1"/>
  <c r="AD25" i="108"/>
  <c r="AE25" i="108" s="1"/>
  <c r="AF25" i="108" s="1" a="1"/>
  <c r="AF25" i="108" s="1"/>
  <c r="AD24" i="108"/>
  <c r="AE24" i="108" s="1"/>
  <c r="AF24" i="108" s="1" a="1"/>
  <c r="AF24" i="108" s="1"/>
  <c r="AD23" i="108"/>
  <c r="AE23" i="108" s="1"/>
  <c r="AF23" i="108" s="1" a="1"/>
  <c r="AF23" i="108" s="1"/>
  <c r="AD22" i="108"/>
  <c r="AE22" i="108" s="1"/>
  <c r="AF22" i="108" s="1" a="1"/>
  <c r="AF22" i="108" s="1"/>
  <c r="AD21" i="108"/>
  <c r="AE21" i="108" s="1"/>
  <c r="AF21" i="108" s="1" a="1"/>
  <c r="AF21" i="108" s="1"/>
  <c r="AD20" i="108"/>
  <c r="AE20" i="108" s="1"/>
  <c r="AF20" i="108" s="1" a="1"/>
  <c r="AF20" i="108" s="1"/>
  <c r="AD19" i="108"/>
  <c r="AE19" i="108" s="1"/>
  <c r="AF19" i="108" s="1" a="1"/>
  <c r="AF19" i="108" s="1"/>
  <c r="AD18" i="108"/>
  <c r="AE18" i="108" s="1"/>
  <c r="AF18" i="108" s="1" a="1"/>
  <c r="AF18" i="108" s="1"/>
  <c r="AD17" i="108"/>
  <c r="AE17" i="108" s="1"/>
  <c r="AF17" i="108" s="1" a="1"/>
  <c r="AF17" i="108" s="1"/>
  <c r="AD16" i="108"/>
  <c r="AE16" i="108" s="1"/>
  <c r="AF16" i="108" s="1" a="1"/>
  <c r="AF16" i="108" s="1"/>
  <c r="AD15" i="108"/>
  <c r="AE15" i="108" s="1"/>
  <c r="AF15" i="108" s="1" a="1"/>
  <c r="AF15" i="108" s="1"/>
  <c r="AD14" i="108"/>
  <c r="AE14" i="108" s="1"/>
  <c r="AF14" i="108" s="1" a="1"/>
  <c r="AF14" i="108" s="1"/>
  <c r="AD13" i="108"/>
  <c r="AE13" i="108" s="1"/>
  <c r="AF13" i="108" s="1" a="1"/>
  <c r="AF13" i="108" s="1"/>
  <c r="AD12" i="108"/>
  <c r="AE12" i="108" s="1"/>
  <c r="AF12" i="108" s="1" a="1"/>
  <c r="AF12" i="108" s="1"/>
  <c r="AD11" i="108"/>
  <c r="AE11" i="108" s="1"/>
  <c r="AF11" i="108" s="1" a="1"/>
  <c r="AF11" i="108" s="1"/>
  <c r="AD10" i="108"/>
  <c r="AE10" i="108" s="1"/>
  <c r="AF10" i="108" s="1" a="1"/>
  <c r="AF10" i="108" s="1"/>
  <c r="AD9" i="108"/>
  <c r="AE9" i="108" s="1"/>
  <c r="AF9" i="108" s="1" a="1"/>
  <c r="AF9" i="108" s="1"/>
  <c r="AD8" i="108"/>
  <c r="AE8" i="108" s="1"/>
  <c r="AF8" i="108" s="1" a="1"/>
  <c r="AF8" i="108" s="1"/>
  <c r="AD7" i="108"/>
  <c r="AE7" i="108" s="1"/>
  <c r="AF7" i="108" s="1" a="1"/>
  <c r="AF7" i="108" s="1"/>
  <c r="AD6" i="108"/>
  <c r="AE6" i="108" s="1"/>
  <c r="AF6" i="108" s="1" a="1"/>
  <c r="AF6" i="108" s="1"/>
  <c r="AE5" i="108"/>
  <c r="AF5" i="108" s="1" a="1"/>
  <c r="AF5" i="108" s="1"/>
  <c r="AD5" i="108"/>
  <c r="T37" i="108"/>
  <c r="U37" i="108" s="1"/>
  <c r="V37" i="108" s="1" a="1"/>
  <c r="V37" i="108" s="1"/>
  <c r="T36" i="108"/>
  <c r="U36" i="108" s="1"/>
  <c r="V36" i="108" s="1" a="1"/>
  <c r="V36" i="108" s="1"/>
  <c r="T35" i="108"/>
  <c r="U35" i="108" s="1"/>
  <c r="V35" i="108" s="1" a="1"/>
  <c r="V35" i="108" s="1"/>
  <c r="T34" i="108"/>
  <c r="U34" i="108" s="1"/>
  <c r="V34" i="108" s="1" a="1"/>
  <c r="V34" i="108" s="1"/>
  <c r="T33" i="108"/>
  <c r="U33" i="108" s="1"/>
  <c r="V33" i="108" s="1" a="1"/>
  <c r="V33" i="108" s="1"/>
  <c r="T32" i="108"/>
  <c r="U32" i="108" s="1"/>
  <c r="V32" i="108" s="1" a="1"/>
  <c r="V32" i="108" s="1"/>
  <c r="T31" i="108"/>
  <c r="U31" i="108" s="1"/>
  <c r="V31" i="108" s="1" a="1"/>
  <c r="V31" i="108" s="1"/>
  <c r="T30" i="108"/>
  <c r="U30" i="108" s="1"/>
  <c r="V30" i="108" s="1" a="1"/>
  <c r="V30" i="108" s="1"/>
  <c r="T29" i="108"/>
  <c r="U29" i="108" s="1"/>
  <c r="V29" i="108" s="1" a="1"/>
  <c r="V29" i="108" s="1"/>
  <c r="T28" i="108"/>
  <c r="U28" i="108" s="1"/>
  <c r="V28" i="108" s="1" a="1"/>
  <c r="V28" i="108" s="1"/>
  <c r="T27" i="108"/>
  <c r="U27" i="108" s="1"/>
  <c r="V27" i="108" s="1" a="1"/>
  <c r="V27" i="108" s="1"/>
  <c r="T26" i="108"/>
  <c r="U26" i="108" s="1"/>
  <c r="V26" i="108" s="1" a="1"/>
  <c r="V26" i="108" s="1"/>
  <c r="T25" i="108"/>
  <c r="U25" i="108" s="1"/>
  <c r="V25" i="108" s="1" a="1"/>
  <c r="V25" i="108" s="1"/>
  <c r="T24" i="108"/>
  <c r="U24" i="108" s="1"/>
  <c r="V24" i="108" s="1" a="1"/>
  <c r="V24" i="108" s="1"/>
  <c r="T23" i="108"/>
  <c r="U23" i="108" s="1"/>
  <c r="V23" i="108" s="1" a="1"/>
  <c r="V23" i="108" s="1"/>
  <c r="T22" i="108"/>
  <c r="U22" i="108" s="1"/>
  <c r="V22" i="108" s="1" a="1"/>
  <c r="V22" i="108" s="1"/>
  <c r="T21" i="108"/>
  <c r="U21" i="108" s="1"/>
  <c r="V21" i="108" s="1" a="1"/>
  <c r="V21" i="108" s="1"/>
  <c r="T20" i="108"/>
  <c r="U20" i="108" s="1"/>
  <c r="V20" i="108" s="1" a="1"/>
  <c r="V20" i="108" s="1"/>
  <c r="T19" i="108"/>
  <c r="U19" i="108" s="1"/>
  <c r="V19" i="108" s="1" a="1"/>
  <c r="V19" i="108" s="1"/>
  <c r="T18" i="108"/>
  <c r="U18" i="108" s="1"/>
  <c r="V18" i="108" s="1" a="1"/>
  <c r="V18" i="108" s="1"/>
  <c r="T17" i="108"/>
  <c r="U17" i="108" s="1"/>
  <c r="V17" i="108" s="1" a="1"/>
  <c r="V17" i="108" s="1"/>
  <c r="T16" i="108"/>
  <c r="U16" i="108" s="1"/>
  <c r="V16" i="108" s="1" a="1"/>
  <c r="V16" i="108" s="1"/>
  <c r="T15" i="108"/>
  <c r="U15" i="108" s="1"/>
  <c r="V15" i="108" s="1" a="1"/>
  <c r="V15" i="108" s="1"/>
  <c r="T14" i="108"/>
  <c r="U14" i="108" s="1"/>
  <c r="V14" i="108" s="1" a="1"/>
  <c r="V14" i="108" s="1"/>
  <c r="T13" i="108"/>
  <c r="U13" i="108" s="1"/>
  <c r="V13" i="108" s="1" a="1"/>
  <c r="V13" i="108" s="1"/>
  <c r="T12" i="108"/>
  <c r="U12" i="108" s="1"/>
  <c r="V12" i="108" s="1" a="1"/>
  <c r="V12" i="108" s="1"/>
  <c r="T11" i="108"/>
  <c r="U11" i="108" s="1"/>
  <c r="V11" i="108" s="1" a="1"/>
  <c r="V11" i="108" s="1"/>
  <c r="T10" i="108"/>
  <c r="U10" i="108" s="1"/>
  <c r="V10" i="108" s="1" a="1"/>
  <c r="V10" i="108" s="1"/>
  <c r="T9" i="108"/>
  <c r="U9" i="108" s="1"/>
  <c r="V9" i="108" s="1" a="1"/>
  <c r="V9" i="108" s="1"/>
  <c r="T8" i="108"/>
  <c r="U8" i="108" s="1"/>
  <c r="V8" i="108" s="1" a="1"/>
  <c r="V8" i="108" s="1"/>
  <c r="T7" i="108"/>
  <c r="U7" i="108" s="1"/>
  <c r="V7" i="108" s="1" a="1"/>
  <c r="V7" i="108" s="1"/>
  <c r="T6" i="108"/>
  <c r="U6" i="108" s="1"/>
  <c r="V6" i="108" s="1" a="1"/>
  <c r="V6" i="108" s="1"/>
  <c r="U5" i="108"/>
  <c r="V5" i="108" s="1" a="1"/>
  <c r="V5" i="108" s="1"/>
  <c r="T5" i="108"/>
  <c r="K37" i="108"/>
  <c r="L37" i="108" s="1"/>
  <c r="M37" i="108" s="1" a="1"/>
  <c r="M37" i="108" s="1"/>
  <c r="K36" i="108"/>
  <c r="L36" i="108" s="1"/>
  <c r="M36" i="108" s="1" a="1"/>
  <c r="M36" i="108" s="1"/>
  <c r="K35" i="108"/>
  <c r="L35" i="108" s="1"/>
  <c r="M35" i="108" s="1" a="1"/>
  <c r="M35" i="108" s="1"/>
  <c r="K34" i="108"/>
  <c r="L34" i="108" s="1"/>
  <c r="M34" i="108" s="1" a="1"/>
  <c r="M34" i="108" s="1"/>
  <c r="K33" i="108"/>
  <c r="L33" i="108" s="1"/>
  <c r="M33" i="108" s="1" a="1"/>
  <c r="M33" i="108" s="1"/>
  <c r="K32" i="108"/>
  <c r="L32" i="108" s="1"/>
  <c r="M32" i="108" s="1" a="1"/>
  <c r="M32" i="108" s="1"/>
  <c r="K31" i="108"/>
  <c r="L31" i="108" s="1"/>
  <c r="M31" i="108" s="1" a="1"/>
  <c r="M31" i="108" s="1"/>
  <c r="K30" i="108"/>
  <c r="L30" i="108" s="1"/>
  <c r="M30" i="108" s="1" a="1"/>
  <c r="M30" i="108" s="1"/>
  <c r="K29" i="108"/>
  <c r="L29" i="108" s="1"/>
  <c r="M29" i="108" s="1" a="1"/>
  <c r="M29" i="108" s="1"/>
  <c r="K28" i="108"/>
  <c r="L28" i="108" s="1"/>
  <c r="M28" i="108" s="1" a="1"/>
  <c r="M28" i="108" s="1"/>
  <c r="K27" i="108"/>
  <c r="L27" i="108" s="1"/>
  <c r="M27" i="108" s="1" a="1"/>
  <c r="M27" i="108" s="1"/>
  <c r="K26" i="108"/>
  <c r="L26" i="108" s="1"/>
  <c r="M26" i="108" s="1" a="1"/>
  <c r="M26" i="108" s="1"/>
  <c r="K25" i="108"/>
  <c r="L25" i="108" s="1"/>
  <c r="M25" i="108" s="1" a="1"/>
  <c r="M25" i="108" s="1"/>
  <c r="K24" i="108"/>
  <c r="L24" i="108" s="1"/>
  <c r="M24" i="108" s="1" a="1"/>
  <c r="M24" i="108" s="1"/>
  <c r="K23" i="108"/>
  <c r="L23" i="108" s="1"/>
  <c r="M23" i="108" s="1" a="1"/>
  <c r="M23" i="108" s="1"/>
  <c r="K22" i="108"/>
  <c r="L22" i="108" s="1"/>
  <c r="M22" i="108" s="1" a="1"/>
  <c r="M22" i="108" s="1"/>
  <c r="K21" i="108"/>
  <c r="L21" i="108" s="1"/>
  <c r="M21" i="108" s="1" a="1"/>
  <c r="M21" i="108" s="1"/>
  <c r="K20" i="108"/>
  <c r="L20" i="108" s="1"/>
  <c r="M20" i="108" s="1" a="1"/>
  <c r="M20" i="108" s="1"/>
  <c r="K19" i="108"/>
  <c r="L19" i="108" s="1"/>
  <c r="M19" i="108" s="1" a="1"/>
  <c r="M19" i="108" s="1"/>
  <c r="K18" i="108"/>
  <c r="L18" i="108" s="1"/>
  <c r="M18" i="108" s="1" a="1"/>
  <c r="M18" i="108" s="1"/>
  <c r="K17" i="108"/>
  <c r="L17" i="108" s="1"/>
  <c r="M17" i="108" s="1" a="1"/>
  <c r="M17" i="108" s="1"/>
  <c r="K16" i="108"/>
  <c r="L16" i="108" s="1"/>
  <c r="M16" i="108" s="1" a="1"/>
  <c r="M16" i="108" s="1"/>
  <c r="K15" i="108"/>
  <c r="L15" i="108" s="1"/>
  <c r="M15" i="108" s="1" a="1"/>
  <c r="M15" i="108" s="1"/>
  <c r="K14" i="108"/>
  <c r="L14" i="108" s="1"/>
  <c r="M14" i="108" s="1" a="1"/>
  <c r="M14" i="108" s="1"/>
  <c r="K13" i="108"/>
  <c r="L13" i="108" s="1"/>
  <c r="M13" i="108" s="1" a="1"/>
  <c r="M13" i="108" s="1"/>
  <c r="K12" i="108"/>
  <c r="L12" i="108" s="1"/>
  <c r="M12" i="108" s="1" a="1"/>
  <c r="M12" i="108" s="1"/>
  <c r="K11" i="108"/>
  <c r="L11" i="108" s="1"/>
  <c r="M11" i="108" s="1" a="1"/>
  <c r="M11" i="108" s="1"/>
  <c r="K10" i="108"/>
  <c r="L10" i="108" s="1"/>
  <c r="M10" i="108" s="1" a="1"/>
  <c r="M10" i="108" s="1"/>
  <c r="K9" i="108"/>
  <c r="L9" i="108" s="1"/>
  <c r="M9" i="108" s="1" a="1"/>
  <c r="M9" i="108" s="1"/>
  <c r="K8" i="108"/>
  <c r="L8" i="108" s="1"/>
  <c r="M8" i="108" s="1" a="1"/>
  <c r="M8" i="108" s="1"/>
  <c r="K7" i="108"/>
  <c r="L7" i="108" s="1"/>
  <c r="M7" i="108" s="1" a="1"/>
  <c r="M7" i="108" s="1"/>
  <c r="K6" i="108"/>
  <c r="L6" i="108" s="1"/>
  <c r="M6" i="108" s="1" a="1"/>
  <c r="M6" i="108" s="1"/>
  <c r="L5" i="108"/>
  <c r="M5" i="108" s="1" a="1"/>
  <c r="M5" i="108" s="1"/>
  <c r="K5" i="108"/>
  <c r="AC37" i="105"/>
  <c r="AD37" i="105" s="1"/>
  <c r="AE37" i="105" s="1" a="1"/>
  <c r="AE37" i="105" s="1"/>
  <c r="AC36" i="105"/>
  <c r="AD36" i="105" s="1"/>
  <c r="AE36" i="105" s="1" a="1"/>
  <c r="AE36" i="105" s="1"/>
  <c r="AC35" i="105"/>
  <c r="AD35" i="105" s="1"/>
  <c r="AE35" i="105" s="1" a="1"/>
  <c r="AE35" i="105" s="1"/>
  <c r="AC34" i="105"/>
  <c r="AD34" i="105" s="1"/>
  <c r="AE34" i="105" s="1" a="1"/>
  <c r="AE34" i="105" s="1"/>
  <c r="AC33" i="105"/>
  <c r="AD33" i="105" s="1"/>
  <c r="AE33" i="105" s="1" a="1"/>
  <c r="AE33" i="105" s="1"/>
  <c r="AC32" i="105"/>
  <c r="AD32" i="105" s="1"/>
  <c r="AE32" i="105" s="1" a="1"/>
  <c r="AE32" i="105" s="1"/>
  <c r="AC31" i="105"/>
  <c r="AD31" i="105" s="1"/>
  <c r="AE31" i="105" s="1" a="1"/>
  <c r="AE31" i="105" s="1"/>
  <c r="AC30" i="105"/>
  <c r="AD30" i="105" s="1"/>
  <c r="AE30" i="105" s="1" a="1"/>
  <c r="AE30" i="105" s="1"/>
  <c r="AC29" i="105"/>
  <c r="AD29" i="105" s="1"/>
  <c r="AE29" i="105" s="1" a="1"/>
  <c r="AE29" i="105" s="1"/>
  <c r="AC28" i="105"/>
  <c r="AD28" i="105" s="1"/>
  <c r="AE28" i="105" s="1" a="1"/>
  <c r="AE28" i="105" s="1"/>
  <c r="AC27" i="105"/>
  <c r="AD27" i="105" s="1"/>
  <c r="AE27" i="105" s="1" a="1"/>
  <c r="AE27" i="105" s="1"/>
  <c r="AC26" i="105"/>
  <c r="AD26" i="105" s="1"/>
  <c r="AE26" i="105" s="1" a="1"/>
  <c r="AE26" i="105" s="1"/>
  <c r="AC25" i="105"/>
  <c r="AD25" i="105" s="1"/>
  <c r="AE25" i="105" s="1" a="1"/>
  <c r="AE25" i="105" s="1"/>
  <c r="AC24" i="105"/>
  <c r="AD24" i="105" s="1"/>
  <c r="AE24" i="105" s="1" a="1"/>
  <c r="AE24" i="105" s="1"/>
  <c r="AC23" i="105"/>
  <c r="AD23" i="105" s="1"/>
  <c r="AE23" i="105" s="1" a="1"/>
  <c r="AE23" i="105" s="1"/>
  <c r="AC22" i="105"/>
  <c r="AD22" i="105" s="1"/>
  <c r="AE22" i="105" s="1" a="1"/>
  <c r="AE22" i="105" s="1"/>
  <c r="AC21" i="105"/>
  <c r="AD21" i="105" s="1"/>
  <c r="AE21" i="105" s="1" a="1"/>
  <c r="AE21" i="105" s="1"/>
  <c r="AC20" i="105"/>
  <c r="AD20" i="105" s="1"/>
  <c r="AE20" i="105" s="1" a="1"/>
  <c r="AE20" i="105" s="1"/>
  <c r="AC19" i="105"/>
  <c r="AD19" i="105" s="1"/>
  <c r="AE19" i="105" s="1" a="1"/>
  <c r="AE19" i="105" s="1"/>
  <c r="AC18" i="105"/>
  <c r="AD18" i="105" s="1"/>
  <c r="AE18" i="105" s="1" a="1"/>
  <c r="AE18" i="105" s="1"/>
  <c r="AC17" i="105"/>
  <c r="AD17" i="105" s="1"/>
  <c r="AE17" i="105" s="1" a="1"/>
  <c r="AE17" i="105" s="1"/>
  <c r="AC16" i="105"/>
  <c r="AD16" i="105" s="1"/>
  <c r="AE16" i="105" s="1" a="1"/>
  <c r="AE16" i="105" s="1"/>
  <c r="AC15" i="105"/>
  <c r="AD15" i="105" s="1"/>
  <c r="AE15" i="105" s="1" a="1"/>
  <c r="AE15" i="105" s="1"/>
  <c r="AC14" i="105"/>
  <c r="AD14" i="105" s="1"/>
  <c r="AE14" i="105" s="1" a="1"/>
  <c r="AE14" i="105" s="1"/>
  <c r="AC13" i="105"/>
  <c r="AD13" i="105" s="1"/>
  <c r="AE13" i="105" s="1" a="1"/>
  <c r="AE13" i="105" s="1"/>
  <c r="AC12" i="105"/>
  <c r="AD12" i="105" s="1"/>
  <c r="AE12" i="105" s="1" a="1"/>
  <c r="AE12" i="105" s="1"/>
  <c r="AC11" i="105"/>
  <c r="AD11" i="105" s="1"/>
  <c r="AE11" i="105" s="1" a="1"/>
  <c r="AE11" i="105" s="1"/>
  <c r="AC10" i="105"/>
  <c r="AD10" i="105" s="1"/>
  <c r="AE10" i="105" s="1" a="1"/>
  <c r="AE10" i="105" s="1"/>
  <c r="AC9" i="105"/>
  <c r="AD9" i="105" s="1"/>
  <c r="AE9" i="105" s="1" a="1"/>
  <c r="AE9" i="105" s="1"/>
  <c r="AC8" i="105"/>
  <c r="AD8" i="105" s="1"/>
  <c r="AE8" i="105" s="1" a="1"/>
  <c r="AE8" i="105" s="1"/>
  <c r="AC7" i="105"/>
  <c r="AD7" i="105" s="1"/>
  <c r="AE7" i="105" s="1" a="1"/>
  <c r="AE7" i="105" s="1"/>
  <c r="AC6" i="105"/>
  <c r="AD6" i="105" s="1"/>
  <c r="AE6" i="105" s="1" a="1"/>
  <c r="AE6" i="105" s="1"/>
  <c r="AD5" i="105"/>
  <c r="AE5" i="105" s="1" a="1"/>
  <c r="AE5" i="105" s="1"/>
  <c r="AC5" i="105"/>
  <c r="S37" i="105"/>
  <c r="T37" i="105" s="1"/>
  <c r="U37" i="105" s="1" a="1"/>
  <c r="U37" i="105" s="1"/>
  <c r="S36" i="105"/>
  <c r="T36" i="105" s="1"/>
  <c r="U36" i="105" s="1" a="1"/>
  <c r="U36" i="105" s="1"/>
  <c r="S35" i="105"/>
  <c r="T35" i="105" s="1"/>
  <c r="U35" i="105" s="1" a="1"/>
  <c r="U35" i="105" s="1"/>
  <c r="S34" i="105"/>
  <c r="T34" i="105" s="1"/>
  <c r="U34" i="105" s="1" a="1"/>
  <c r="U34" i="105" s="1"/>
  <c r="S33" i="105"/>
  <c r="T33" i="105" s="1"/>
  <c r="U33" i="105" s="1" a="1"/>
  <c r="U33" i="105" s="1"/>
  <c r="S32" i="105"/>
  <c r="T32" i="105" s="1"/>
  <c r="U32" i="105" s="1" a="1"/>
  <c r="U32" i="105" s="1"/>
  <c r="S31" i="105"/>
  <c r="T31" i="105" s="1"/>
  <c r="U31" i="105" s="1" a="1"/>
  <c r="U31" i="105" s="1"/>
  <c r="S30" i="105"/>
  <c r="T30" i="105" s="1"/>
  <c r="U30" i="105" s="1" a="1"/>
  <c r="U30" i="105" s="1"/>
  <c r="S29" i="105"/>
  <c r="T29" i="105" s="1"/>
  <c r="U29" i="105" s="1" a="1"/>
  <c r="U29" i="105" s="1"/>
  <c r="S28" i="105"/>
  <c r="T28" i="105" s="1"/>
  <c r="U28" i="105" s="1" a="1"/>
  <c r="U28" i="105" s="1"/>
  <c r="S27" i="105"/>
  <c r="T27" i="105" s="1"/>
  <c r="U27" i="105" s="1" a="1"/>
  <c r="U27" i="105" s="1"/>
  <c r="S26" i="105"/>
  <c r="T26" i="105" s="1"/>
  <c r="U26" i="105" s="1" a="1"/>
  <c r="U26" i="105" s="1"/>
  <c r="S25" i="105"/>
  <c r="T25" i="105" s="1"/>
  <c r="U25" i="105" s="1" a="1"/>
  <c r="U25" i="105" s="1"/>
  <c r="S24" i="105"/>
  <c r="T24" i="105" s="1"/>
  <c r="U24" i="105" s="1" a="1"/>
  <c r="U24" i="105" s="1"/>
  <c r="S23" i="105"/>
  <c r="T23" i="105" s="1"/>
  <c r="U23" i="105" s="1" a="1"/>
  <c r="U23" i="105" s="1"/>
  <c r="S22" i="105"/>
  <c r="T22" i="105" s="1"/>
  <c r="U22" i="105" s="1" a="1"/>
  <c r="U22" i="105" s="1"/>
  <c r="S21" i="105"/>
  <c r="T21" i="105" s="1"/>
  <c r="U21" i="105" s="1" a="1"/>
  <c r="U21" i="105" s="1"/>
  <c r="S20" i="105"/>
  <c r="T20" i="105" s="1"/>
  <c r="U20" i="105" s="1" a="1"/>
  <c r="U20" i="105" s="1"/>
  <c r="S19" i="105"/>
  <c r="T19" i="105" s="1"/>
  <c r="U19" i="105" s="1" a="1"/>
  <c r="U19" i="105" s="1"/>
  <c r="S18" i="105"/>
  <c r="T18" i="105" s="1"/>
  <c r="U18" i="105" s="1" a="1"/>
  <c r="U18" i="105" s="1"/>
  <c r="S17" i="105"/>
  <c r="T17" i="105" s="1"/>
  <c r="U17" i="105" s="1" a="1"/>
  <c r="U17" i="105" s="1"/>
  <c r="S16" i="105"/>
  <c r="T16" i="105" s="1"/>
  <c r="U16" i="105" s="1" a="1"/>
  <c r="U16" i="105" s="1"/>
  <c r="S15" i="105"/>
  <c r="T15" i="105" s="1"/>
  <c r="U15" i="105" s="1" a="1"/>
  <c r="U15" i="105" s="1"/>
  <c r="S14" i="105"/>
  <c r="T14" i="105" s="1"/>
  <c r="U14" i="105" s="1" a="1"/>
  <c r="U14" i="105" s="1"/>
  <c r="S13" i="105"/>
  <c r="T13" i="105" s="1"/>
  <c r="U13" i="105" s="1" a="1"/>
  <c r="U13" i="105" s="1"/>
  <c r="S12" i="105"/>
  <c r="T12" i="105" s="1"/>
  <c r="U12" i="105" s="1" a="1"/>
  <c r="U12" i="105" s="1"/>
  <c r="S11" i="105"/>
  <c r="T11" i="105" s="1"/>
  <c r="U11" i="105" s="1" a="1"/>
  <c r="U11" i="105" s="1"/>
  <c r="S10" i="105"/>
  <c r="T10" i="105" s="1"/>
  <c r="U10" i="105" s="1" a="1"/>
  <c r="U10" i="105" s="1"/>
  <c r="S9" i="105"/>
  <c r="T9" i="105" s="1"/>
  <c r="U9" i="105" s="1" a="1"/>
  <c r="U9" i="105" s="1"/>
  <c r="S8" i="105"/>
  <c r="T8" i="105" s="1"/>
  <c r="U8" i="105" s="1" a="1"/>
  <c r="U8" i="105" s="1"/>
  <c r="S7" i="105"/>
  <c r="T7" i="105" s="1"/>
  <c r="U7" i="105" s="1" a="1"/>
  <c r="U7" i="105" s="1"/>
  <c r="S6" i="105"/>
  <c r="T6" i="105" s="1"/>
  <c r="U6" i="105" s="1" a="1"/>
  <c r="U6" i="105" s="1"/>
  <c r="T5" i="105"/>
  <c r="U5" i="105" s="1" a="1"/>
  <c r="U5" i="105" s="1"/>
  <c r="S5" i="105"/>
  <c r="I37" i="105"/>
  <c r="J37" i="105" s="1"/>
  <c r="K37" i="105" s="1" a="1"/>
  <c r="K37" i="105" s="1"/>
  <c r="I36" i="105"/>
  <c r="J36" i="105" s="1"/>
  <c r="K36" i="105" s="1" a="1"/>
  <c r="K36" i="105" s="1"/>
  <c r="I35" i="105"/>
  <c r="J35" i="105" s="1"/>
  <c r="K35" i="105" s="1" a="1"/>
  <c r="K35" i="105" s="1"/>
  <c r="I34" i="105"/>
  <c r="J34" i="105" s="1"/>
  <c r="K34" i="105" s="1" a="1"/>
  <c r="K34" i="105" s="1"/>
  <c r="I33" i="105"/>
  <c r="J33" i="105" s="1"/>
  <c r="K33" i="105" s="1" a="1"/>
  <c r="K33" i="105" s="1"/>
  <c r="I32" i="105"/>
  <c r="J32" i="105" s="1"/>
  <c r="K32" i="105" s="1" a="1"/>
  <c r="K32" i="105" s="1"/>
  <c r="I31" i="105"/>
  <c r="J31" i="105" s="1"/>
  <c r="K31" i="105" s="1" a="1"/>
  <c r="K31" i="105" s="1"/>
  <c r="I30" i="105"/>
  <c r="J30" i="105" s="1"/>
  <c r="K30" i="105" s="1" a="1"/>
  <c r="K30" i="105" s="1"/>
  <c r="I29" i="105"/>
  <c r="J29" i="105" s="1"/>
  <c r="K29" i="105" s="1" a="1"/>
  <c r="K29" i="105" s="1"/>
  <c r="I28" i="105"/>
  <c r="J28" i="105" s="1"/>
  <c r="K28" i="105" s="1" a="1"/>
  <c r="K28" i="105" s="1"/>
  <c r="I27" i="105"/>
  <c r="J27" i="105" s="1"/>
  <c r="K27" i="105" s="1" a="1"/>
  <c r="K27" i="105" s="1"/>
  <c r="I26" i="105"/>
  <c r="J26" i="105" s="1"/>
  <c r="K26" i="105" s="1" a="1"/>
  <c r="K26" i="105" s="1"/>
  <c r="I25" i="105"/>
  <c r="J25" i="105" s="1"/>
  <c r="K25" i="105" s="1" a="1"/>
  <c r="K25" i="105" s="1"/>
  <c r="I24" i="105"/>
  <c r="J24" i="105" s="1"/>
  <c r="K24" i="105" s="1" a="1"/>
  <c r="K24" i="105" s="1"/>
  <c r="I23" i="105"/>
  <c r="J23" i="105" s="1"/>
  <c r="K23" i="105" s="1" a="1"/>
  <c r="K23" i="105" s="1"/>
  <c r="I22" i="105"/>
  <c r="J22" i="105" s="1"/>
  <c r="K22" i="105" s="1" a="1"/>
  <c r="K22" i="105" s="1"/>
  <c r="I21" i="105"/>
  <c r="J21" i="105" s="1"/>
  <c r="K21" i="105" s="1" a="1"/>
  <c r="K21" i="105" s="1"/>
  <c r="I20" i="105"/>
  <c r="J20" i="105" s="1"/>
  <c r="K20" i="105" s="1" a="1"/>
  <c r="K20" i="105" s="1"/>
  <c r="I19" i="105"/>
  <c r="J19" i="105" s="1"/>
  <c r="K19" i="105" s="1" a="1"/>
  <c r="K19" i="105" s="1"/>
  <c r="I18" i="105"/>
  <c r="J18" i="105" s="1"/>
  <c r="K18" i="105" s="1" a="1"/>
  <c r="K18" i="105" s="1"/>
  <c r="I17" i="105"/>
  <c r="J17" i="105" s="1"/>
  <c r="K17" i="105" s="1" a="1"/>
  <c r="K17" i="105" s="1"/>
  <c r="I16" i="105"/>
  <c r="J16" i="105" s="1"/>
  <c r="K16" i="105" s="1" a="1"/>
  <c r="K16" i="105" s="1"/>
  <c r="I15" i="105"/>
  <c r="J15" i="105" s="1"/>
  <c r="K15" i="105" s="1" a="1"/>
  <c r="K15" i="105" s="1"/>
  <c r="I14" i="105"/>
  <c r="J14" i="105" s="1"/>
  <c r="K14" i="105" s="1" a="1"/>
  <c r="K14" i="105" s="1"/>
  <c r="I13" i="105"/>
  <c r="J13" i="105" s="1"/>
  <c r="K13" i="105" s="1" a="1"/>
  <c r="K13" i="105" s="1"/>
  <c r="I12" i="105"/>
  <c r="J12" i="105" s="1"/>
  <c r="K12" i="105" s="1" a="1"/>
  <c r="K12" i="105" s="1"/>
  <c r="I11" i="105"/>
  <c r="J11" i="105" s="1"/>
  <c r="K11" i="105" s="1" a="1"/>
  <c r="K11" i="105" s="1"/>
  <c r="I10" i="105"/>
  <c r="J10" i="105" s="1"/>
  <c r="K10" i="105" s="1" a="1"/>
  <c r="K10" i="105" s="1"/>
  <c r="I9" i="105"/>
  <c r="J9" i="105" s="1"/>
  <c r="K9" i="105" s="1" a="1"/>
  <c r="K9" i="105" s="1"/>
  <c r="I8" i="105"/>
  <c r="J8" i="105" s="1"/>
  <c r="K8" i="105" s="1" a="1"/>
  <c r="K8" i="105" s="1"/>
  <c r="I7" i="105"/>
  <c r="J7" i="105" s="1"/>
  <c r="K7" i="105" s="1" a="1"/>
  <c r="K7" i="105" s="1"/>
  <c r="I6" i="105"/>
  <c r="J6" i="105" s="1"/>
  <c r="K6" i="105" s="1" a="1"/>
  <c r="K6" i="105" s="1"/>
  <c r="I5" i="105"/>
  <c r="W3" i="105" a="1"/>
  <c r="W3" i="105" s="1"/>
  <c r="F3" i="109" a="1"/>
  <c r="F3" i="109" s="1"/>
  <c r="T14" i="97"/>
  <c r="S14" i="97"/>
  <c r="R14" i="97"/>
  <c r="T13" i="97"/>
  <c r="S13" i="97"/>
  <c r="R13" i="97"/>
  <c r="T12" i="97"/>
  <c r="S12" i="97"/>
  <c r="R12" i="97"/>
  <c r="T11" i="97"/>
  <c r="S11" i="97"/>
  <c r="R11" i="97"/>
  <c r="T10" i="97"/>
  <c r="S10" i="97"/>
  <c r="R10" i="97"/>
  <c r="T9" i="97"/>
  <c r="S9" i="97"/>
  <c r="R9" i="97"/>
  <c r="T8" i="97"/>
  <c r="S8" i="97"/>
  <c r="R8" i="97"/>
  <c r="T7" i="97"/>
  <c r="S7" i="97"/>
  <c r="R7" i="97"/>
  <c r="T6" i="97"/>
  <c r="S6" i="97"/>
  <c r="R6" i="97"/>
  <c r="T5" i="97"/>
  <c r="S5" i="97"/>
  <c r="R5" i="97"/>
  <c r="T4" i="97"/>
  <c r="S4" i="97"/>
  <c r="R4" i="97"/>
  <c r="T3" i="97"/>
  <c r="S3" i="97"/>
  <c r="R3" i="97"/>
  <c r="A1" i="91" a="1"/>
  <c r="A1" i="91" s="1"/>
  <c r="P3" i="108" l="1" a="1"/>
  <c r="P3" i="108" s="1"/>
  <c r="N3" i="105" a="1"/>
  <c r="N3" i="105" s="1"/>
  <c r="G3" i="109" a="1"/>
  <c r="G3" i="109" s="1"/>
  <c r="F3" i="105" a="1"/>
  <c r="F3" i="105" s="1"/>
  <c r="Y3" i="105" a="1"/>
  <c r="Y3" i="105" s="1"/>
  <c r="Q3" i="108" a="1"/>
  <c r="Q3" i="108" s="1"/>
  <c r="H3" i="109" a="1"/>
  <c r="H3" i="109" s="1"/>
  <c r="G3" i="105" a="1"/>
  <c r="G3" i="105" s="1"/>
  <c r="Z3" i="105" a="1"/>
  <c r="Z3" i="105" s="1"/>
  <c r="R3" i="108" a="1"/>
  <c r="R3" i="108" s="1"/>
  <c r="I3" i="109" a="1"/>
  <c r="I3" i="109" s="1"/>
  <c r="H3" i="105" a="1"/>
  <c r="H3" i="105" s="1"/>
  <c r="AA3" i="105" a="1"/>
  <c r="AA3" i="105" s="1"/>
  <c r="S3" i="108" a="1"/>
  <c r="S3" i="108" s="1"/>
  <c r="J3" i="109" a="1"/>
  <c r="J3" i="109" s="1"/>
  <c r="AB3" i="105" a="1"/>
  <c r="AB3" i="105" s="1"/>
  <c r="L3" i="105" a="1"/>
  <c r="L3" i="105" s="1"/>
  <c r="M3" i="105" a="1"/>
  <c r="M3" i="105" s="1"/>
  <c r="W3" i="108" a="1"/>
  <c r="W3" i="108" s="1"/>
  <c r="N3" i="109" a="1"/>
  <c r="N3" i="109" s="1"/>
  <c r="F3" i="108" a="1"/>
  <c r="F3" i="108" s="1"/>
  <c r="X3" i="108" a="1"/>
  <c r="X3" i="108" s="1"/>
  <c r="O3" i="109" a="1"/>
  <c r="O3" i="109" s="1"/>
  <c r="O3" i="105" a="1"/>
  <c r="O3" i="105" s="1"/>
  <c r="G3" i="108" a="1"/>
  <c r="G3" i="108" s="1"/>
  <c r="Y3" i="108" a="1"/>
  <c r="Y3" i="108" s="1"/>
  <c r="P3" i="109" a="1"/>
  <c r="P3" i="109" s="1"/>
  <c r="P3" i="105" a="1"/>
  <c r="P3" i="105" s="1"/>
  <c r="H3" i="108" a="1"/>
  <c r="H3" i="108" s="1"/>
  <c r="Z3" i="108" a="1"/>
  <c r="Z3" i="108" s="1"/>
  <c r="Q3" i="109" a="1"/>
  <c r="Q3" i="109" s="1"/>
  <c r="I3" i="108" a="1"/>
  <c r="I3" i="108" s="1"/>
  <c r="AA3" i="108" a="1"/>
  <c r="AA3" i="108" s="1"/>
  <c r="R3" i="109" a="1"/>
  <c r="R3" i="109" s="1"/>
  <c r="Q3" i="105" a="1"/>
  <c r="Q3" i="105" s="1"/>
  <c r="J3" i="108" a="1"/>
  <c r="J3" i="108" s="1"/>
  <c r="AB3" i="108" a="1"/>
  <c r="AB3" i="108" s="1"/>
  <c r="S3" i="109" a="1"/>
  <c r="S3" i="109" s="1"/>
  <c r="AC3" i="108" a="1"/>
  <c r="AC3" i="108" s="1"/>
  <c r="R3" i="105" a="1"/>
  <c r="R3" i="105" s="1"/>
  <c r="V3" i="105" a="1"/>
  <c r="V3" i="105" s="1"/>
  <c r="N3" i="108" a="1"/>
  <c r="N3" i="108" s="1"/>
  <c r="W3" i="109" a="1"/>
  <c r="W3" i="109" s="1"/>
  <c r="O3" i="108" a="1"/>
  <c r="O3" i="108" s="1"/>
  <c r="J5" i="105" l="1"/>
  <c r="K5" i="105" s="1" a="1"/>
  <c r="K5" i="10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<sst xmlns="http://schemas.openxmlformats.org/spreadsheetml/2006/main" count="936" uniqueCount="76">
  <si>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</si>
  <si>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</si>
  <si>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</si>
  <si>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</si>
  <si>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</si>
  <si>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</si>
  <si>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</si>
  <si>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</si>
  <si>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</si>
  <si>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</si>
  <si>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</si>
  <si>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</si>
  <si>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</si>
  <si>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</si>
  <si>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</si>
  <si>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</si>
  <si>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</si>
  <si>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</si>
  <si>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</si>
  <si>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</si>
  <si>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</si>
  <si>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</si>
  <si>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</si>
  <si>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</si>
  <si>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</si>
  <si>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</si>
  <si>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</si>
  <si>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</si>
  <si>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</si>
  <si>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</si>
  <si>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</si>
  <si>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</si>
  <si>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</si>
  <si>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</si>
  <si>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</si>
  <si>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配点</t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</si>
  <si>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</si>
  <si>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</si>
  <si>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</si>
  <si>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</si>
  <si>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</si>
  <si>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</si>
  <si>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</si>
  <si>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</si>
  <si>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重み</t>
  </si>
  <si>
    <t>実施</t>
    <phoneticPr fontId="3"/>
  </si>
  <si>
    <t>観点1</t>
  </si>
  <si>
    <t>A</t>
  </si>
  <si>
    <t>B</t>
  </si>
  <si>
    <t>観点2</t>
  </si>
  <si>
    <t>観点3</t>
    <phoneticPr fontId="3"/>
  </si>
  <si>
    <t>配点</t>
    <phoneticPr fontId="3"/>
  </si>
  <si>
    <t>学級平均</t>
    <phoneticPr fontId="3"/>
  </si>
  <si>
    <t>XLOOKUP(MID(CELL("filename",$A$1),FIND("]",CELL("filename",$A$1))+1,31)&amp;F2&amp;F1,採点基準!$R$3:$R$14,採点基準!</t>
  </si>
  <si>
    <t>XLOOKUP(MID(CELL("filename",$A$1),FIND("]",CELL("filename",$A$1))+1,31)&amp;F2&amp;F1,採点基準!$R$3:$R$100000,採点基準!$F$3:$F$100000,</t>
  </si>
  <si>
    <t>XLOOKUP(MID(CELL("filename",$A$1),FIND("]",CELL("filename",$A$1))+1,31)&amp;F2&amp;F1,採点基準!$S$3:$S$100000,採点基準!$J$3:$J$100000),</t>
  </si>
  <si>
    <t>XLOOKUP(MID(CELL("filename",$A$1),FIND("]",CELL("filename",$A$1))+1,31)&amp;F2&amp;F1,採点基準!$T$3:$S$100000,採点基準!$N$3:$N$100000)</t>
  </si>
  <si>
    <t>)</t>
  </si>
  <si>
    <t>思考・判断・表現</t>
    <phoneticPr fontId="3"/>
  </si>
  <si>
    <t>主体的に学習に取り組む態度</t>
    <phoneticPr fontId="3"/>
  </si>
  <si>
    <t>理科</t>
    <rPh sb="0" eb="2">
      <t>リカ</t>
    </rPh>
    <phoneticPr fontId="3"/>
  </si>
  <si>
    <t>観点</t>
    <phoneticPr fontId="3"/>
  </si>
  <si>
    <t>A</t>
    <phoneticPr fontId="3"/>
  </si>
  <si>
    <t>B</t>
    <phoneticPr fontId="3"/>
  </si>
  <si>
    <t>国語</t>
    <phoneticPr fontId="3"/>
  </si>
  <si>
    <t>知識・技能</t>
    <phoneticPr fontId="3"/>
  </si>
  <si>
    <t>算数</t>
    <phoneticPr fontId="3"/>
  </si>
  <si>
    <t>理科</t>
    <phoneticPr fontId="3"/>
  </si>
  <si>
    <t>3学期総合</t>
    <phoneticPr fontId="3"/>
  </si>
  <si>
    <t>A_x000D_
(%以上)</t>
    <phoneticPr fontId="3"/>
  </si>
  <si>
    <t>B_x000D_
(%以上)</t>
    <phoneticPr fontId="3"/>
  </si>
  <si>
    <t>C_x000D_
(%未満)</t>
    <phoneticPr fontId="3"/>
  </si>
  <si>
    <t>観点1</t>
    <phoneticPr fontId="3"/>
  </si>
  <si>
    <t>重み</t>
    <phoneticPr fontId="3"/>
  </si>
  <si>
    <t>観点2</t>
    <phoneticPr fontId="3"/>
  </si>
  <si>
    <t>ｓ２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</si>
</sst>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rgb="FF0061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  <font>
      <b/>
      <sz val="11"/>
      <color theme="1"/>
      <name val="BIZ UD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rgb="FF0075CC"/>
        <bgColor indexed="64"/>
      </patternFill>
    </fill>
  </fills>
  <borders count="1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14" borderId="10" applyNumberFormat="0" applyFont="0" applyAlignment="0" applyProtection="0">
      <alignment vertical="center"/>
    </xf>
  </cellStyleXfs>
  <cellXfs count="6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vertical="top"/>
    </xf>
    <xf numFmtId="0" fontId="11" fillId="11" borderId="1" xfId="3" applyFont="1" applyFill="1" applyAlignment="1">
      <alignment horizontal="right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2" borderId="0" xfId="1" applyFont="1">
      <alignment vertical="center"/>
    </xf>
    <xf numFmtId="0" fontId="10" fillId="3" borderId="10" xfId="2" applyFont="1" applyBorder="1">
      <alignment vertical="center"/>
    </xf>
    <xf numFmtId="0" fontId="10" fillId="13" borderId="3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3" fillId="0" borderId="0" xfId="0" applyFont="1">
      <alignment vertical="center"/>
    </xf>
    <xf numFmtId="0" fontId="10" fillId="13" borderId="9" xfId="0" applyFont="1" applyFill="1" applyBorder="1">
      <alignment vertical="center"/>
    </xf>
    <xf numFmtId="0" fontId="10" fillId="9" borderId="9" xfId="0" applyFont="1" applyFill="1" applyBorder="1">
      <alignment vertical="center"/>
    </xf>
    <xf numFmtId="0" fontId="14" fillId="7" borderId="3" xfId="0" applyFont="1" applyFill="1" applyBorder="1" applyAlignment="1">
      <alignment vertical="center" textRotation="255"/>
    </xf>
    <xf numFmtId="0" fontId="15" fillId="0" borderId="0" xfId="0" applyFont="1">
      <alignment vertical="center"/>
    </xf>
    <xf numFmtId="0" fontId="17" fillId="14" borderId="10" xfId="4" applyFont="1">
      <alignment vertical="center"/>
    </xf>
    <xf numFmtId="0" fontId="10" fillId="14" borderId="10" xfId="4" applyFont="1">
      <alignment vertical="center"/>
    </xf>
    <xf numFmtId="0" fontId="10" fillId="13" borderId="5" xfId="0" applyFont="1" applyFill="1" applyBorder="1">
      <alignment vertical="center"/>
    </xf>
    <xf numFmtId="0" fontId="11" fillId="11" borderId="13" xfId="3" applyFont="1" applyFill="1" applyBorder="1" applyAlignment="1">
      <alignment horizontal="right"/>
    </xf>
    <xf numFmtId="0" fontId="11" fillId="11" borderId="0" xfId="3" applyFont="1" applyFill="1" applyBorder="1" applyAlignment="1">
      <alignment vertical="top"/>
    </xf>
    <xf numFmtId="0" fontId="10" fillId="0" borderId="8" xfId="0" applyFont="1" applyBorder="1">
      <alignment vertical="center"/>
    </xf>
    <xf numFmtId="0" fontId="10" fillId="9" borderId="8" xfId="0" applyFont="1" applyFill="1" applyBorder="1">
      <alignment vertical="center"/>
    </xf>
    <xf numFmtId="0" fontId="10" fillId="7" borderId="4" xfId="0" applyFont="1" applyFill="1" applyBorder="1" applyAlignment="1">
      <alignment vertical="center" textRotation="255"/>
    </xf>
    <xf numFmtId="0" fontId="10" fillId="8" borderId="3" xfId="0" applyFont="1" applyFill="1" applyBorder="1">
      <alignment vertical="center"/>
    </xf>
    <xf numFmtId="0" fontId="10" fillId="8" borderId="4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15" borderId="0" xfId="0" applyFont="1" applyFill="1" applyBorder="1">
      <alignment vertical="center"/>
    </xf>
    <xf numFmtId="0" fontId="10" fillId="15" borderId="0" xfId="0" applyFont="1" applyFill="1" applyBorder="1">
      <alignment vertical="center"/>
    </xf>
    <xf numFmtId="0" fontId="10" fillId="15" borderId="0" xfId="0" applyFont="1" applyFill="1" applyBorder="1" applyAlignment="1">
      <alignment vertical="center" wrapText="1"/>
    </xf>
    <xf numFmtId="0" fontId="16" fillId="0" borderId="0" xfId="0" applyFont="1" applyFill="1" applyBorder="1">
      <alignment vertical="center"/>
    </xf>
  </cellXfs>
  <cellStyles count="5">
    <cellStyle name="40% - アクセント 3" xfId="2" builtinId="39"/>
    <cellStyle name="チェック セル" xfId="3" builtinId="23"/>
    <cellStyle name="メモ" xfId="4" builtinId="10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674DD3"/>
      <color rgb="FF0075CC"/>
      <color rgb="FFE78575"/>
      <color rgb="FFE07CCD"/>
      <color rgb="FFFACFBC"/>
      <color rgb="FFC37637"/>
      <color rgb="FFD7A073"/>
      <color rgb="FFFC734E"/>
      <color rgb="FF008FFA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12290" name="addUnitBt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D73C6A3F-78F3-105C-D811-C67E46C0B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12291" name="repairCalc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A774938B-863B-C894-39E0-D276E2BF84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21534" name="addUnitBtn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BA5A0A75-C3BD-DB1E-4F46-DFA98F7FA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21535" name="repairCalc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AA14682C-CE79-ED60-7C15-1A40FC3ED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30721" name="addUnitBtn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5B2107CC-5EF9-CB92-4127-3A917B25B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30722" name="repairCalc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E2A8C290-A099-FF7C-F5E9-815826492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38"/>
  <sheetViews>
    <sheetView workbookViewId="0">
      <selection activeCell="A3" sqref="A3:B35"/>
    </sheetView>
  </sheetViews>
  <sheetFormatPr defaultRowHeight="13.5" x14ac:dyDescent="0.4"/>
  <cols>
    <col min="1" max="16384" width="9" style="44"/>
  </cols>
  <sheetData>
    <row r="1" spans="1:2" ht="15" thickTop="1" thickBot="1" x14ac:dyDescent="0.45">
      <c r="A1" s="14" t="s">
        <v>28</v>
      </c>
      <c r="B1" s="15"/>
    </row>
    <row r="2" spans="1:2" ht="14.25" thickTop="1" x14ac:dyDescent="0.4">
      <c r="A2" s="21" t="s">
        <v>1</v>
      </c>
      <c r="B2" s="21" t="s">
        <v>20</v>
      </c>
    </row>
    <row r="3" spans="1:2" x14ac:dyDescent="0.4">
      <c r="A3" s="59">
        <v>1</v>
      </c>
      <c r="B3" s="59" t="s">
        <v>2</v>
      </c>
    </row>
    <row r="4" spans="1:2" x14ac:dyDescent="0.4">
      <c r="A4" s="59">
        <v>2</v>
      </c>
      <c r="B4" s="59" t="s">
        <v>2</v>
      </c>
    </row>
    <row r="5" spans="1:2" x14ac:dyDescent="0.4">
      <c r="A5" s="59">
        <v>3</v>
      </c>
      <c r="B5" s="59" t="s">
        <v>2</v>
      </c>
    </row>
    <row r="6" spans="1:2" x14ac:dyDescent="0.4">
      <c r="A6" s="59">
        <v>4</v>
      </c>
      <c r="B6" s="59" t="s">
        <v>2</v>
      </c>
    </row>
    <row r="7" spans="1:2" x14ac:dyDescent="0.4">
      <c r="A7" s="59">
        <v>5</v>
      </c>
      <c r="B7" s="59" t="s">
        <v>2</v>
      </c>
    </row>
    <row r="8" spans="1:2" x14ac:dyDescent="0.4">
      <c r="A8" s="59">
        <v>6</v>
      </c>
      <c r="B8" s="59" t="s">
        <v>2</v>
      </c>
    </row>
    <row r="9" spans="1:2" x14ac:dyDescent="0.4">
      <c r="A9" s="59">
        <v>7</v>
      </c>
      <c r="B9" s="59" t="s">
        <v>2</v>
      </c>
    </row>
    <row r="10" spans="1:2" x14ac:dyDescent="0.4">
      <c r="A10" s="59">
        <v>8</v>
      </c>
      <c r="B10" s="59" t="s">
        <v>2</v>
      </c>
    </row>
    <row r="11" spans="1:2" x14ac:dyDescent="0.4">
      <c r="A11" s="59">
        <v>9</v>
      </c>
      <c r="B11" s="59" t="s">
        <v>2</v>
      </c>
    </row>
    <row r="12" spans="1:2" x14ac:dyDescent="0.4">
      <c r="A12" s="59">
        <v>10</v>
      </c>
      <c r="B12" s="59" t="s">
        <v>2</v>
      </c>
    </row>
    <row r="13" spans="1:2" x14ac:dyDescent="0.4">
      <c r="A13" s="59">
        <v>11</v>
      </c>
      <c r="B13" s="59" t="s">
        <v>2</v>
      </c>
    </row>
    <row r="14" spans="1:2" x14ac:dyDescent="0.4">
      <c r="A14" s="59">
        <v>12</v>
      </c>
      <c r="B14" s="59" t="s">
        <v>2</v>
      </c>
    </row>
    <row r="15" spans="1:2" x14ac:dyDescent="0.4">
      <c r="A15" s="59">
        <v>13</v>
      </c>
      <c r="B15" s="59" t="s">
        <v>2</v>
      </c>
    </row>
    <row r="16" spans="1:2" x14ac:dyDescent="0.4">
      <c r="A16" s="59">
        <v>14</v>
      </c>
      <c r="B16" s="59" t="s">
        <v>2</v>
      </c>
    </row>
    <row r="17" spans="1:2" x14ac:dyDescent="0.4">
      <c r="A17" s="59">
        <v>14</v>
      </c>
      <c r="B17" s="59" t="s">
        <v>2</v>
      </c>
    </row>
    <row r="18" spans="1:2" x14ac:dyDescent="0.4">
      <c r="A18" s="59">
        <v>14</v>
      </c>
      <c r="B18" s="59" t="s">
        <v>2</v>
      </c>
    </row>
    <row r="19" spans="1:2" x14ac:dyDescent="0.4">
      <c r="A19" s="59">
        <v>14</v>
      </c>
      <c r="B19" s="59" t="s">
        <v>2</v>
      </c>
    </row>
    <row r="20" spans="1:2" x14ac:dyDescent="0.4">
      <c r="A20" s="59">
        <v>14</v>
      </c>
      <c r="B20" s="59" t="s">
        <v>2</v>
      </c>
    </row>
    <row r="21" spans="1:2" x14ac:dyDescent="0.4">
      <c r="A21" s="59">
        <v>14</v>
      </c>
      <c r="B21" s="59" t="s">
        <v>2</v>
      </c>
    </row>
    <row r="22" spans="1:2" x14ac:dyDescent="0.4">
      <c r="A22" s="59">
        <v>14</v>
      </c>
      <c r="B22" s="59" t="s">
        <v>2</v>
      </c>
    </row>
    <row r="23" spans="1:2" x14ac:dyDescent="0.4">
      <c r="A23" s="59">
        <v>14</v>
      </c>
      <c r="B23" s="59" t="s">
        <v>2</v>
      </c>
    </row>
    <row r="24" spans="1:2" x14ac:dyDescent="0.4">
      <c r="A24" s="59">
        <v>14</v>
      </c>
      <c r="B24" s="59" t="s">
        <v>2</v>
      </c>
    </row>
    <row r="25" spans="1:2" x14ac:dyDescent="0.4">
      <c r="A25" s="59">
        <v>14</v>
      </c>
      <c r="B25" s="59" t="s">
        <v>2</v>
      </c>
    </row>
    <row r="26" spans="1:2" x14ac:dyDescent="0.4">
      <c r="A26" s="59">
        <v>14</v>
      </c>
      <c r="B26" s="59" t="s">
        <v>2</v>
      </c>
    </row>
    <row r="27" spans="1:2" x14ac:dyDescent="0.4">
      <c r="A27" s="59">
        <v>14</v>
      </c>
      <c r="B27" s="59" t="s">
        <v>2</v>
      </c>
    </row>
    <row r="28" spans="1:2" x14ac:dyDescent="0.4">
      <c r="A28" s="47"/>
      <c r="B28" s="59" t="s">
        <v>2</v>
      </c>
    </row>
    <row r="29" spans="1:2" x14ac:dyDescent="0.4">
      <c r="A29" s="59">
        <v>14</v>
      </c>
      <c r="B29" s="59" t="s">
        <v>2</v>
      </c>
    </row>
    <row r="30" spans="1:2" x14ac:dyDescent="0.4">
      <c r="A30" s="59">
        <v>14</v>
      </c>
      <c r="B30" s="59" t="s">
        <v>2</v>
      </c>
    </row>
    <row r="31" spans="1:2" x14ac:dyDescent="0.4">
      <c r="A31" s="59">
        <v>14</v>
      </c>
      <c r="B31" s="59" t="s">
        <v>2</v>
      </c>
    </row>
    <row r="32" spans="1:2" x14ac:dyDescent="0.4">
      <c r="A32" s="59">
        <v>14</v>
      </c>
      <c r="B32" s="59" t="s">
        <v>2</v>
      </c>
    </row>
    <row r="33" spans="1:2" x14ac:dyDescent="0.4">
      <c r="A33" s="59">
        <v>14</v>
      </c>
      <c r="B33" s="59" t="s">
        <v>2</v>
      </c>
    </row>
    <row r="34" spans="1:2" x14ac:dyDescent="0.4">
      <c r="A34" s="59">
        <v>14</v>
      </c>
      <c r="B34" s="59" t="s">
        <v>2</v>
      </c>
    </row>
    <row r="35" spans="1:2" x14ac:dyDescent="0.4">
      <c r="A35" s="59">
        <v>14</v>
      </c>
      <c r="B35" s="59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0"/>
  <sheetViews>
    <sheetView workbookViewId="0"/>
  </sheetViews>
  <sheetFormatPr defaultRowHeight="13.5" x14ac:dyDescent="0.4"/>
  <cols>
    <col min="1" max="1" width="15.75" style="13" customWidth="1"/>
    <col min="2" max="2" width="18.75" style="13" customWidth="1"/>
    <col min="3" max="3" width="29.25" style="13" customWidth="1"/>
    <col min="4" max="16384" width="9" style="44"/>
  </cols>
  <sheetData>
    <row r="1" spans="1:3" ht="15" thickTop="1" thickBot="1" x14ac:dyDescent="0.2">
      <c r="A1" s="49" t="s">
        <v>33</v>
      </c>
      <c r="B1" s="48" t="s">
        <v>34</v>
      </c>
      <c r="C1" s="18"/>
    </row>
    <row r="2" spans="1:3" ht="14.2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59" t="s">
        <v>6</v>
      </c>
      <c r="B3" s="59" t="s">
        <v>4</v>
      </c>
      <c r="C3" s="59" t="s">
        <v>15</v>
      </c>
    </row>
    <row r="4" spans="1:3" x14ac:dyDescent="0.4">
      <c r="A4" s="59" t="s">
        <v>6</v>
      </c>
      <c r="B4" s="59" t="s">
        <v>58</v>
      </c>
      <c r="C4" s="59" t="s">
        <v>5</v>
      </c>
    </row>
    <row r="5" spans="1:3" x14ac:dyDescent="0.4">
      <c r="A5" s="59" t="s">
        <v>6</v>
      </c>
      <c r="B5" s="59" t="s">
        <v>59</v>
      </c>
      <c r="C5" s="59" t="s">
        <v>7</v>
      </c>
    </row>
    <row r="6" spans="1:3" x14ac:dyDescent="0.4">
      <c r="A6" s="59" t="s">
        <v>6</v>
      </c>
      <c r="B6" s="59" t="s">
        <v>4</v>
      </c>
      <c r="C6" s="59" t="s">
        <v>16</v>
      </c>
    </row>
    <row r="7" spans="1:3" x14ac:dyDescent="0.4">
      <c r="A7" s="59" t="s">
        <v>6</v>
      </c>
      <c r="B7" s="59" t="s">
        <v>4</v>
      </c>
      <c r="C7" s="59" t="s">
        <v>8</v>
      </c>
    </row>
    <row r="8" spans="1:3" x14ac:dyDescent="0.4">
      <c r="A8" s="59" t="s">
        <v>6</v>
      </c>
      <c r="B8" s="59" t="s">
        <v>9</v>
      </c>
      <c r="C8" s="59" t="s">
        <v>15</v>
      </c>
    </row>
    <row r="9" spans="1:3" x14ac:dyDescent="0.4">
      <c r="A9" s="59" t="s">
        <v>6</v>
      </c>
      <c r="B9" s="59" t="s">
        <v>9</v>
      </c>
      <c r="C9" s="59" t="s">
        <v>7</v>
      </c>
    </row>
    <row r="10" spans="1:3" x14ac:dyDescent="0.4">
      <c r="A10" s="59" t="s">
        <v>6</v>
      </c>
      <c r="B10" s="59" t="s">
        <v>9</v>
      </c>
      <c r="C10" s="59" t="s">
        <v>5</v>
      </c>
    </row>
    <row r="11" spans="1:3" x14ac:dyDescent="0.4">
      <c r="A11" s="59" t="s">
        <v>6</v>
      </c>
      <c r="B11" s="59" t="s">
        <v>9</v>
      </c>
      <c r="C11" s="59" t="s">
        <v>7</v>
      </c>
    </row>
    <row r="12" spans="1:3" x14ac:dyDescent="0.4">
      <c r="A12" s="59" t="s">
        <v>6</v>
      </c>
      <c r="B12" s="59" t="s">
        <v>9</v>
      </c>
      <c r="C12" s="59" t="s">
        <v>27</v>
      </c>
    </row>
    <row r="13" spans="1:3" x14ac:dyDescent="0.4">
      <c r="A13" s="59" t="s">
        <v>6</v>
      </c>
      <c r="B13" s="59" t="s">
        <v>9</v>
      </c>
      <c r="C13" s="59" t="s">
        <v>8</v>
      </c>
    </row>
    <row r="14" spans="1:3" x14ac:dyDescent="0.4">
      <c r="A14" s="59" t="s">
        <v>6</v>
      </c>
      <c r="B14" s="59" t="s">
        <v>18</v>
      </c>
      <c r="C14" s="59" t="s">
        <v>15</v>
      </c>
    </row>
    <row r="15" spans="1:3" x14ac:dyDescent="0.4">
      <c r="A15" s="59" t="s">
        <v>6</v>
      </c>
      <c r="B15" s="59" t="s">
        <v>18</v>
      </c>
      <c r="C15" s="59" t="s">
        <v>7</v>
      </c>
    </row>
    <row r="16" spans="1:3" x14ac:dyDescent="0.4">
      <c r="A16" s="59" t="s">
        <v>6</v>
      </c>
      <c r="B16" s="59" t="s">
        <v>18</v>
      </c>
      <c r="C16" s="59" t="s">
        <v>5</v>
      </c>
    </row>
    <row r="17" spans="1:3" x14ac:dyDescent="0.4">
      <c r="A17" s="59" t="s">
        <v>6</v>
      </c>
      <c r="B17" s="59" t="s">
        <v>18</v>
      </c>
      <c r="C17" s="59" t="s">
        <v>7</v>
      </c>
    </row>
    <row r="18" spans="1:3" x14ac:dyDescent="0.4">
      <c r="A18" s="47"/>
      <c r="B18" s="59" t="s">
        <v>18</v>
      </c>
      <c r="C18" s="59" t="s">
        <v>17</v>
      </c>
    </row>
    <row r="19" spans="1:3" x14ac:dyDescent="0.4">
      <c r="A19" s="59" t="s">
        <v>6</v>
      </c>
      <c r="B19" s="59" t="s">
        <v>18</v>
      </c>
      <c r="C19" s="59" t="s">
        <v>16</v>
      </c>
    </row>
    <row r="20" spans="1:3" x14ac:dyDescent="0.4">
      <c r="A20" s="59" t="s">
        <v>6</v>
      </c>
      <c r="B20" s="59" t="s">
        <v>18</v>
      </c>
      <c r="C20" s="59" t="s">
        <v>8</v>
      </c>
    </row>
    <row r="21" spans="1:3" x14ac:dyDescent="0.4">
      <c r="A21" s="59" t="s">
        <v>11</v>
      </c>
      <c r="B21" s="59" t="s">
        <v>4</v>
      </c>
      <c r="C21" s="59" t="s">
        <v>15</v>
      </c>
    </row>
    <row r="22" spans="1:3" x14ac:dyDescent="0.4">
      <c r="A22" s="59" t="s">
        <v>11</v>
      </c>
      <c r="B22" s="59" t="s">
        <v>4</v>
      </c>
      <c r="C22" s="59" t="s">
        <v>5</v>
      </c>
    </row>
    <row r="23" spans="1:3" x14ac:dyDescent="0.4">
      <c r="A23" s="59" t="s">
        <v>11</v>
      </c>
      <c r="B23" s="59" t="s">
        <v>4</v>
      </c>
      <c r="C23" s="59" t="s">
        <v>7</v>
      </c>
    </row>
    <row r="24" spans="1:3" x14ac:dyDescent="0.4">
      <c r="A24" s="59" t="s">
        <v>11</v>
      </c>
      <c r="B24" s="59" t="s">
        <v>4</v>
      </c>
      <c r="C24" s="59" t="s">
        <v>16</v>
      </c>
    </row>
    <row r="25" spans="1:3" x14ac:dyDescent="0.4">
      <c r="A25" s="59" t="s">
        <v>11</v>
      </c>
      <c r="B25" s="59" t="s">
        <v>4</v>
      </c>
      <c r="C25" s="59" t="s">
        <v>8</v>
      </c>
    </row>
    <row r="26" spans="1:3" x14ac:dyDescent="0.4">
      <c r="A26" s="59" t="s">
        <v>11</v>
      </c>
      <c r="B26" s="59" t="s">
        <v>9</v>
      </c>
      <c r="C26" s="59" t="s">
        <v>15</v>
      </c>
    </row>
    <row r="27" spans="1:3" x14ac:dyDescent="0.4">
      <c r="A27" s="59" t="s">
        <v>11</v>
      </c>
      <c r="B27" s="59" t="s">
        <v>9</v>
      </c>
      <c r="C27" s="59" t="s">
        <v>7</v>
      </c>
    </row>
    <row r="28" spans="1:3" x14ac:dyDescent="0.4">
      <c r="A28" s="59" t="s">
        <v>11</v>
      </c>
      <c r="B28" s="59" t="s">
        <v>9</v>
      </c>
      <c r="C28" s="59" t="s">
        <v>5</v>
      </c>
    </row>
    <row r="29" spans="1:3" x14ac:dyDescent="0.4">
      <c r="A29" s="59" t="s">
        <v>11</v>
      </c>
      <c r="B29" s="59" t="s">
        <v>9</v>
      </c>
      <c r="C29" s="59" t="s">
        <v>7</v>
      </c>
    </row>
    <row r="30" spans="1:3" x14ac:dyDescent="0.4">
      <c r="A30" s="59" t="s">
        <v>11</v>
      </c>
      <c r="B30" s="59" t="s">
        <v>9</v>
      </c>
      <c r="C30" s="59" t="s">
        <v>17</v>
      </c>
    </row>
    <row r="31" spans="1:3" x14ac:dyDescent="0.4">
      <c r="A31" s="59" t="s">
        <v>11</v>
      </c>
      <c r="B31" s="59" t="s">
        <v>9</v>
      </c>
      <c r="C31" s="59" t="s">
        <v>8</v>
      </c>
    </row>
    <row r="32" spans="1:3" x14ac:dyDescent="0.4">
      <c r="A32" s="59" t="s">
        <v>11</v>
      </c>
      <c r="B32" s="59" t="s">
        <v>18</v>
      </c>
      <c r="C32" s="59" t="s">
        <v>15</v>
      </c>
    </row>
    <row r="33" spans="1:3" x14ac:dyDescent="0.4">
      <c r="A33" s="59" t="s">
        <v>11</v>
      </c>
      <c r="B33" s="59" t="s">
        <v>18</v>
      </c>
      <c r="C33" s="59" t="s">
        <v>7</v>
      </c>
    </row>
    <row r="34" spans="1:3" x14ac:dyDescent="0.4">
      <c r="A34" s="59" t="s">
        <v>11</v>
      </c>
      <c r="B34" s="59" t="s">
        <v>18</v>
      </c>
      <c r="C34" s="59" t="s">
        <v>5</v>
      </c>
    </row>
    <row r="35" spans="1:3" x14ac:dyDescent="0.4">
      <c r="A35" s="59" t="s">
        <v>11</v>
      </c>
      <c r="B35" s="59" t="s">
        <v>18</v>
      </c>
      <c r="C35" s="59" t="s">
        <v>7</v>
      </c>
    </row>
    <row r="36" spans="1:3" x14ac:dyDescent="0.4">
      <c r="A36" s="59" t="s">
        <v>11</v>
      </c>
      <c r="B36" s="59" t="s">
        <v>18</v>
      </c>
      <c r="C36" s="59" t="s">
        <v>17</v>
      </c>
    </row>
    <row r="37" spans="1:3" x14ac:dyDescent="0.4">
      <c r="A37" s="59" t="s">
        <v>11</v>
      </c>
      <c r="B37" s="59" t="s">
        <v>18</v>
      </c>
      <c r="C37" s="59" t="s">
        <v>16</v>
      </c>
    </row>
    <row r="38" spans="1:3" x14ac:dyDescent="0.4">
      <c r="A38" s="59" t="s">
        <v>11</v>
      </c>
      <c r="B38" s="59" t="s">
        <v>18</v>
      </c>
      <c r="C38" s="59" t="s">
        <v>8</v>
      </c>
    </row>
    <row r="39" spans="1:3" x14ac:dyDescent="0.4">
      <c r="A39" s="59" t="s">
        <v>60</v>
      </c>
      <c r="B39" s="59" t="s">
        <v>4</v>
      </c>
      <c r="C39" s="59" t="s">
        <v>15</v>
      </c>
    </row>
    <row r="40" spans="1:3" x14ac:dyDescent="0.4">
      <c r="A40" s="59" t="s">
        <v>60</v>
      </c>
      <c r="B40" s="59" t="s">
        <v>4</v>
      </c>
      <c r="C40" s="59" t="s">
        <v>5</v>
      </c>
    </row>
    <row r="41" spans="1:3" x14ac:dyDescent="0.4">
      <c r="A41" s="59" t="s">
        <v>60</v>
      </c>
      <c r="B41" s="59" t="s">
        <v>4</v>
      </c>
      <c r="C41" s="59" t="s">
        <v>7</v>
      </c>
    </row>
    <row r="42" spans="1:3" x14ac:dyDescent="0.4">
      <c r="A42" s="59" t="s">
        <v>60</v>
      </c>
      <c r="B42" s="59" t="s">
        <v>4</v>
      </c>
      <c r="C42" s="59" t="s">
        <v>16</v>
      </c>
    </row>
    <row r="43" spans="1:3" x14ac:dyDescent="0.4">
      <c r="A43" s="59" t="s">
        <v>60</v>
      </c>
      <c r="B43" s="59" t="s">
        <v>4</v>
      </c>
      <c r="C43" s="59" t="s">
        <v>8</v>
      </c>
    </row>
    <row r="44" spans="1:3" x14ac:dyDescent="0.4">
      <c r="A44" s="59" t="s">
        <v>60</v>
      </c>
      <c r="B44" s="59" t="s">
        <v>9</v>
      </c>
      <c r="C44" s="59" t="s">
        <v>15</v>
      </c>
    </row>
    <row r="45" spans="1:3" x14ac:dyDescent="0.4">
      <c r="A45" s="59" t="s">
        <v>60</v>
      </c>
      <c r="B45" s="59" t="s">
        <v>9</v>
      </c>
      <c r="C45" s="59" t="s">
        <v>7</v>
      </c>
    </row>
    <row r="46" spans="1:3" x14ac:dyDescent="0.4">
      <c r="A46" s="59" t="s">
        <v>60</v>
      </c>
      <c r="B46" s="59" t="s">
        <v>9</v>
      </c>
      <c r="C46" s="59" t="s">
        <v>5</v>
      </c>
    </row>
    <row r="47" spans="1:3" x14ac:dyDescent="0.4">
      <c r="A47" s="59" t="s">
        <v>60</v>
      </c>
      <c r="B47" s="59" t="s">
        <v>9</v>
      </c>
      <c r="C47" s="59" t="s">
        <v>7</v>
      </c>
    </row>
    <row r="48" spans="1:3" x14ac:dyDescent="0.4">
      <c r="A48" s="59" t="s">
        <v>60</v>
      </c>
      <c r="B48" s="59" t="s">
        <v>9</v>
      </c>
      <c r="C48" s="59" t="s">
        <v>17</v>
      </c>
    </row>
    <row r="49" spans="1:3" x14ac:dyDescent="0.4">
      <c r="A49" s="59" t="s">
        <v>60</v>
      </c>
      <c r="B49" s="59" t="s">
        <v>9</v>
      </c>
      <c r="C49" s="59" t="s">
        <v>8</v>
      </c>
    </row>
    <row r="50" spans="1:3" x14ac:dyDescent="0.4">
      <c r="A50" s="59" t="s">
        <v>60</v>
      </c>
      <c r="B50" s="59" t="s">
        <v>18</v>
      </c>
      <c r="C50" s="59" t="s">
        <v>15</v>
      </c>
    </row>
  </sheetData>
  <autoFilter ref="A1:C50" xr:uid="{BD0A72EA-60DE-46E7-B122-2E795F5C6865}"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5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B2" sqref="B2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ht="13.5" x14ac:dyDescent="0.4">
      <c r="A2" s="45" t="s">
        <v>29</v>
      </c>
      <c r="B2" s="45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>
      <selection activeCell="C28" sqref="C28"/>
    </sheetView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23447-E6A2-43DC-8996-705F15C93110}">
  <sheetPr codeName="Sheet25"/>
  <dimension ref="A1:A8"/>
  <sheetViews>
    <sheetView workbookViewId="0">
      <selection activeCell="C30" sqref="C30"/>
    </sheetView>
  </sheetViews>
  <sheetFormatPr defaultRowHeight="18.75" x14ac:dyDescent="0.4"/>
  <sheetData>
    <row r="1" spans="1:1" x14ac:dyDescent="0.4">
      <c r="A1" cm="1">
        <f t="array" aca="1" ref="A1" ca="1">IF(F5="",0,_xlfn.XLOOKUP(MID(CELL("filename",$A$1),FIND("]",CELL("filename",$A$1))+1,31)&amp;F2&amp;F1,#REF!,#REF!,_xlfn.XLOOKUP(MID(CELL("filename",A1),FIND("]",CELL("filename",$A$1))+1,31)&amp;F2&amp;F1,#REF!,#REF!,_xlfn.XLOOKUP(MID(CELL("filename",$A$1),FIND("]",CELL("filename",$A$1))+1,31)&amp;F2&amp;F1,#REF!,#REF!))))</f>
        <v>0</v>
      </c>
    </row>
    <row r="2" spans="1:1" x14ac:dyDescent="0.4">
      <c r="A2" t="s">
        <v>53</v>
      </c>
    </row>
    <row r="5" spans="1:1" x14ac:dyDescent="0.4">
      <c r="A5" t="s">
        <v>54</v>
      </c>
    </row>
    <row r="6" spans="1:1" x14ac:dyDescent="0.4">
      <c r="A6" t="s">
        <v>55</v>
      </c>
    </row>
    <row r="7" spans="1:1" x14ac:dyDescent="0.4">
      <c r="A7" t="s">
        <v>56</v>
      </c>
    </row>
    <row r="8" spans="1:1" x14ac:dyDescent="0.4">
      <c r="A8" t="s">
        <v>57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3CE3F-EAB7-4444-BA83-7258B58424C4}">
  <sheetPr codeName="Sheet5"/>
  <dimension ref="A1:B38"/>
  <sheetViews>
    <sheetView workbookViewId="0">
      <selection activeCell="B18" sqref="B18"/>
    </sheetView>
  </sheetViews>
  <sheetFormatPr defaultRowHeight="18.75" x14ac:dyDescent="0.4"/>
  <sheetData>
    <row r="1" spans="1:2" ht="20.25" thickTop="1" thickBot="1" x14ac:dyDescent="0.45">
      <c r="A1" s="14" t="s">
        <v>28</v>
      </c>
      <c r="B1" s="15"/>
    </row>
    <row r="2" spans="1:2" ht="19.5" thickTop="1" x14ac:dyDescent="0.4">
      <c r="A2" s="21" t="s">
        <v>1</v>
      </c>
      <c r="B2" s="21" t="s">
        <v>20</v>
      </c>
    </row>
    <row r="3" spans="1:2" x14ac:dyDescent="0.4">
      <c r="A3" s="13">
        <v>1</v>
      </c>
      <c r="B3" s="13" t="s">
        <v>2</v>
      </c>
    </row>
    <row r="4" spans="1:2" x14ac:dyDescent="0.4">
      <c r="A4" s="13">
        <v>2</v>
      </c>
      <c r="B4" s="13" t="s">
        <v>2</v>
      </c>
    </row>
    <row r="5" spans="1:2" x14ac:dyDescent="0.4">
      <c r="A5" s="13">
        <v>3</v>
      </c>
      <c r="B5" s="13" t="s">
        <v>2</v>
      </c>
    </row>
    <row r="6" spans="1:2" x14ac:dyDescent="0.4">
      <c r="A6" s="13">
        <v>4</v>
      </c>
      <c r="B6" s="13" t="s">
        <v>2</v>
      </c>
    </row>
    <row r="7" spans="1:2" x14ac:dyDescent="0.4">
      <c r="A7" s="13">
        <v>5</v>
      </c>
      <c r="B7" s="13" t="s">
        <v>2</v>
      </c>
    </row>
    <row r="8" spans="1:2" x14ac:dyDescent="0.4">
      <c r="A8" s="13">
        <v>6</v>
      </c>
      <c r="B8" s="13" t="s">
        <v>2</v>
      </c>
    </row>
    <row r="9" spans="1:2" x14ac:dyDescent="0.4">
      <c r="A9" s="13">
        <v>7</v>
      </c>
      <c r="B9" s="13" t="s">
        <v>2</v>
      </c>
    </row>
    <row r="10" spans="1:2" x14ac:dyDescent="0.4">
      <c r="A10" s="13">
        <v>8</v>
      </c>
      <c r="B10" s="13" t="s">
        <v>2</v>
      </c>
    </row>
    <row r="11" spans="1:2" x14ac:dyDescent="0.4">
      <c r="A11" s="13">
        <v>9</v>
      </c>
      <c r="B11" s="13" t="s">
        <v>2</v>
      </c>
    </row>
    <row r="12" spans="1:2" x14ac:dyDescent="0.4">
      <c r="A12" s="13">
        <v>10</v>
      </c>
      <c r="B12" s="13" t="s">
        <v>2</v>
      </c>
    </row>
    <row r="13" spans="1:2" x14ac:dyDescent="0.4">
      <c r="A13" s="13">
        <v>11</v>
      </c>
      <c r="B13" s="13" t="s">
        <v>2</v>
      </c>
    </row>
    <row r="14" spans="1:2" x14ac:dyDescent="0.4">
      <c r="A14" s="13">
        <v>12</v>
      </c>
      <c r="B14" s="13" t="s">
        <v>2</v>
      </c>
    </row>
    <row r="15" spans="1:2" x14ac:dyDescent="0.4">
      <c r="A15" s="13">
        <v>13</v>
      </c>
      <c r="B15" s="13" t="s">
        <v>2</v>
      </c>
    </row>
    <row r="16" spans="1:2" x14ac:dyDescent="0.4">
      <c r="A16" s="13">
        <v>14</v>
      </c>
      <c r="B16" s="13" t="s">
        <v>2</v>
      </c>
    </row>
    <row r="17" spans="1:2" x14ac:dyDescent="0.4">
      <c r="A17" s="13">
        <v>14</v>
      </c>
      <c r="B17" s="13" t="s">
        <v>2</v>
      </c>
    </row>
    <row r="18" spans="1:2" x14ac:dyDescent="0.4">
      <c r="A18" s="13">
        <v>14</v>
      </c>
      <c r="B18" s="13" t="s">
        <v>2</v>
      </c>
    </row>
    <row r="19" spans="1:2" x14ac:dyDescent="0.4">
      <c r="A19" s="13">
        <v>14</v>
      </c>
      <c r="B19" s="13" t="s">
        <v>2</v>
      </c>
    </row>
    <row r="20" spans="1:2" x14ac:dyDescent="0.4">
      <c r="A20" s="13">
        <v>14</v>
      </c>
      <c r="B20" s="13" t="s">
        <v>2</v>
      </c>
    </row>
    <row r="21" spans="1:2" x14ac:dyDescent="0.4">
      <c r="A21" s="13">
        <v>14</v>
      </c>
      <c r="B21" s="13" t="s">
        <v>2</v>
      </c>
    </row>
    <row r="22" spans="1:2" x14ac:dyDescent="0.4">
      <c r="A22" s="13">
        <v>14</v>
      </c>
      <c r="B22" s="13" t="s">
        <v>2</v>
      </c>
    </row>
    <row r="23" spans="1:2" x14ac:dyDescent="0.4">
      <c r="A23" s="13">
        <v>14</v>
      </c>
      <c r="B23" s="13" t="s">
        <v>2</v>
      </c>
    </row>
    <row r="24" spans="1:2" x14ac:dyDescent="0.4">
      <c r="A24" s="13">
        <v>14</v>
      </c>
      <c r="B24" s="13" t="s">
        <v>2</v>
      </c>
    </row>
    <row r="25" spans="1:2" x14ac:dyDescent="0.4">
      <c r="A25" s="13">
        <v>14</v>
      </c>
      <c r="B25" s="13" t="s">
        <v>2</v>
      </c>
    </row>
    <row r="26" spans="1:2" x14ac:dyDescent="0.4">
      <c r="A26" s="13">
        <v>14</v>
      </c>
      <c r="B26" s="13" t="s">
        <v>2</v>
      </c>
    </row>
    <row r="27" spans="1:2" x14ac:dyDescent="0.4">
      <c r="A27" s="13">
        <v>14</v>
      </c>
      <c r="B27" s="13" t="s">
        <v>2</v>
      </c>
    </row>
    <row r="28" spans="1:2" x14ac:dyDescent="0.4">
      <c r="A28" s="13">
        <v>14</v>
      </c>
      <c r="B28" s="13" t="s">
        <v>2</v>
      </c>
    </row>
    <row r="29" spans="1:2" x14ac:dyDescent="0.4">
      <c r="A29" s="13">
        <v>14</v>
      </c>
      <c r="B29" s="25"/>
    </row>
    <row r="30" spans="1:2" x14ac:dyDescent="0.4">
      <c r="A30" s="13">
        <v>14</v>
      </c>
      <c r="B30" s="13" t="s">
        <v>2</v>
      </c>
    </row>
    <row r="31" spans="1:2" x14ac:dyDescent="0.4">
      <c r="A31" s="13">
        <v>14</v>
      </c>
      <c r="B31" s="13" t="s">
        <v>2</v>
      </c>
    </row>
    <row r="32" spans="1:2" x14ac:dyDescent="0.4">
      <c r="A32" s="13">
        <v>14</v>
      </c>
      <c r="B32" s="13" t="s">
        <v>2</v>
      </c>
    </row>
    <row r="33" spans="1:2" x14ac:dyDescent="0.4">
      <c r="A33" s="13">
        <v>14</v>
      </c>
      <c r="B33" s="13" t="s">
        <v>2</v>
      </c>
    </row>
    <row r="34" spans="1:2" x14ac:dyDescent="0.4">
      <c r="A34" s="13">
        <v>14</v>
      </c>
      <c r="B34" s="25"/>
    </row>
    <row r="35" spans="1:2" x14ac:dyDescent="0.4">
      <c r="A35" s="13">
        <v>14</v>
      </c>
      <c r="B35" s="13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1247F-0407-4D24-B943-A94179986971}">
  <sheetPr codeName="Sheet6"/>
  <dimension ref="A1:C38"/>
  <sheetViews>
    <sheetView workbookViewId="0">
      <selection activeCell="B18" sqref="B18"/>
    </sheetView>
  </sheetViews>
  <sheetFormatPr defaultRowHeight="18.75" x14ac:dyDescent="0.4"/>
  <cols>
    <col min="1" max="1" width="15.75" style="13" customWidth="1"/>
    <col min="2" max="2" width="18.75" style="13" customWidth="1"/>
    <col min="3" max="3" width="29.25" style="13" customWidth="1"/>
  </cols>
  <sheetData>
    <row r="1" spans="1:3" ht="20.25" thickTop="1" thickBot="1" x14ac:dyDescent="0.2">
      <c r="A1" s="16" t="s">
        <v>33</v>
      </c>
      <c r="B1" s="17" t="s">
        <v>34</v>
      </c>
      <c r="C1" s="18"/>
    </row>
    <row r="2" spans="1:3" ht="19.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13" t="s">
        <v>6</v>
      </c>
      <c r="B3" s="13" t="s">
        <v>4</v>
      </c>
      <c r="C3" s="13" t="s">
        <v>15</v>
      </c>
    </row>
    <row r="4" spans="1:3" x14ac:dyDescent="0.4">
      <c r="A4" s="13" t="s">
        <v>6</v>
      </c>
      <c r="B4" s="13" t="s">
        <v>4</v>
      </c>
      <c r="C4" s="13" t="s">
        <v>5</v>
      </c>
    </row>
    <row r="5" spans="1:3" x14ac:dyDescent="0.4">
      <c r="A5" s="13" t="s">
        <v>6</v>
      </c>
      <c r="B5" s="13" t="s">
        <v>4</v>
      </c>
      <c r="C5" s="13" t="s">
        <v>7</v>
      </c>
    </row>
    <row r="6" spans="1:3" x14ac:dyDescent="0.4">
      <c r="A6" s="13" t="s">
        <v>6</v>
      </c>
      <c r="B6" s="13" t="s">
        <v>4</v>
      </c>
      <c r="C6" s="13" t="s">
        <v>16</v>
      </c>
    </row>
    <row r="7" spans="1:3" x14ac:dyDescent="0.4">
      <c r="A7" s="13" t="s">
        <v>6</v>
      </c>
      <c r="B7" s="13" t="s">
        <v>4</v>
      </c>
      <c r="C7" s="13" t="s">
        <v>8</v>
      </c>
    </row>
    <row r="8" spans="1:3" x14ac:dyDescent="0.4">
      <c r="A8" s="13" t="s">
        <v>6</v>
      </c>
      <c r="B8" s="13" t="s">
        <v>9</v>
      </c>
      <c r="C8" s="13" t="s">
        <v>15</v>
      </c>
    </row>
    <row r="9" spans="1:3" x14ac:dyDescent="0.4">
      <c r="A9" s="13" t="s">
        <v>6</v>
      </c>
      <c r="B9" s="13" t="s">
        <v>9</v>
      </c>
      <c r="C9" s="13" t="s">
        <v>7</v>
      </c>
    </row>
    <row r="10" spans="1:3" x14ac:dyDescent="0.4">
      <c r="A10" s="13" t="s">
        <v>6</v>
      </c>
      <c r="B10" s="13" t="s">
        <v>9</v>
      </c>
      <c r="C10" s="13" t="s">
        <v>5</v>
      </c>
    </row>
    <row r="11" spans="1:3" x14ac:dyDescent="0.4">
      <c r="A11" s="13" t="s">
        <v>6</v>
      </c>
      <c r="B11" s="13" t="s">
        <v>9</v>
      </c>
      <c r="C11" s="13" t="s">
        <v>7</v>
      </c>
    </row>
    <row r="12" spans="1:3" x14ac:dyDescent="0.4">
      <c r="A12" s="13" t="s">
        <v>6</v>
      </c>
      <c r="B12" s="13" t="s">
        <v>9</v>
      </c>
      <c r="C12" s="13" t="s">
        <v>27</v>
      </c>
    </row>
    <row r="13" spans="1:3" x14ac:dyDescent="0.4">
      <c r="A13" s="13" t="s">
        <v>6</v>
      </c>
      <c r="B13" s="13" t="s">
        <v>9</v>
      </c>
      <c r="C13" s="13" t="s">
        <v>8</v>
      </c>
    </row>
    <row r="14" spans="1:3" x14ac:dyDescent="0.4">
      <c r="A14" s="13" t="s">
        <v>6</v>
      </c>
      <c r="B14" s="13" t="s">
        <v>18</v>
      </c>
      <c r="C14" s="13" t="s">
        <v>15</v>
      </c>
    </row>
    <row r="15" spans="1:3" x14ac:dyDescent="0.4">
      <c r="A15" s="13" t="s">
        <v>6</v>
      </c>
      <c r="B15" s="13" t="s">
        <v>18</v>
      </c>
      <c r="C15" s="13" t="s">
        <v>7</v>
      </c>
    </row>
    <row r="16" spans="1:3" x14ac:dyDescent="0.4">
      <c r="A16" s="13" t="s">
        <v>6</v>
      </c>
      <c r="B16" s="13" t="s">
        <v>18</v>
      </c>
      <c r="C16" s="13" t="s">
        <v>5</v>
      </c>
    </row>
    <row r="17" spans="1:3" x14ac:dyDescent="0.4">
      <c r="A17" s="13" t="s">
        <v>6</v>
      </c>
      <c r="B17" s="13" t="s">
        <v>18</v>
      </c>
      <c r="C17" s="13" t="s">
        <v>7</v>
      </c>
    </row>
    <row r="18" spans="1:3" x14ac:dyDescent="0.4">
      <c r="A18" s="13" t="s">
        <v>6</v>
      </c>
      <c r="B18" s="13" t="s">
        <v>18</v>
      </c>
      <c r="C18" s="13" t="s">
        <v>17</v>
      </c>
    </row>
    <row r="19" spans="1:3" x14ac:dyDescent="0.4">
      <c r="A19" s="13" t="s">
        <v>6</v>
      </c>
      <c r="B19" s="13" t="s">
        <v>18</v>
      </c>
      <c r="C19" s="13" t="s">
        <v>16</v>
      </c>
    </row>
    <row r="20" spans="1:3" x14ac:dyDescent="0.4">
      <c r="A20" s="13" t="s">
        <v>6</v>
      </c>
      <c r="B20" s="13" t="s">
        <v>18</v>
      </c>
      <c r="C20" s="13" t="s">
        <v>8</v>
      </c>
    </row>
    <row r="21" spans="1:3" x14ac:dyDescent="0.4">
      <c r="A21" s="13" t="s">
        <v>11</v>
      </c>
      <c r="B21" s="13" t="s">
        <v>4</v>
      </c>
      <c r="C21" s="13" t="s">
        <v>15</v>
      </c>
    </row>
    <row r="22" spans="1:3" x14ac:dyDescent="0.4">
      <c r="A22" s="13" t="s">
        <v>11</v>
      </c>
      <c r="B22" s="13" t="s">
        <v>4</v>
      </c>
      <c r="C22" s="13" t="s">
        <v>5</v>
      </c>
    </row>
    <row r="23" spans="1:3" x14ac:dyDescent="0.4">
      <c r="A23" s="13" t="s">
        <v>11</v>
      </c>
      <c r="B23" s="13" t="s">
        <v>4</v>
      </c>
      <c r="C23" s="13" t="s">
        <v>7</v>
      </c>
    </row>
    <row r="24" spans="1:3" x14ac:dyDescent="0.4">
      <c r="A24" s="13" t="s">
        <v>11</v>
      </c>
      <c r="B24" s="13" t="s">
        <v>4</v>
      </c>
      <c r="C24" s="13" t="s">
        <v>16</v>
      </c>
    </row>
    <row r="25" spans="1:3" x14ac:dyDescent="0.4">
      <c r="A25" s="13" t="s">
        <v>11</v>
      </c>
      <c r="B25" s="13" t="s">
        <v>4</v>
      </c>
      <c r="C25" s="13" t="s">
        <v>8</v>
      </c>
    </row>
    <row r="26" spans="1:3" x14ac:dyDescent="0.4">
      <c r="A26" s="13" t="s">
        <v>11</v>
      </c>
      <c r="B26" s="13" t="s">
        <v>9</v>
      </c>
      <c r="C26" s="13" t="s">
        <v>15</v>
      </c>
    </row>
    <row r="27" spans="1:3" x14ac:dyDescent="0.4">
      <c r="A27" s="13" t="s">
        <v>11</v>
      </c>
      <c r="B27" s="13" t="s">
        <v>9</v>
      </c>
      <c r="C27" s="13" t="s">
        <v>7</v>
      </c>
    </row>
    <row r="28" spans="1:3" x14ac:dyDescent="0.4">
      <c r="A28" s="13" t="s">
        <v>11</v>
      </c>
      <c r="B28" s="13" t="s">
        <v>9</v>
      </c>
      <c r="C28" s="13" t="s">
        <v>5</v>
      </c>
    </row>
    <row r="29" spans="1:3" x14ac:dyDescent="0.4">
      <c r="A29" s="13" t="s">
        <v>11</v>
      </c>
      <c r="B29" s="13" t="s">
        <v>9</v>
      </c>
      <c r="C29" s="13" t="s">
        <v>7</v>
      </c>
    </row>
    <row r="30" spans="1:3" x14ac:dyDescent="0.4">
      <c r="A30" s="13" t="s">
        <v>11</v>
      </c>
      <c r="B30" s="13" t="s">
        <v>9</v>
      </c>
      <c r="C30" s="13" t="s">
        <v>17</v>
      </c>
    </row>
    <row r="31" spans="1:3" x14ac:dyDescent="0.4">
      <c r="A31" s="13" t="s">
        <v>11</v>
      </c>
      <c r="B31" s="13" t="s">
        <v>9</v>
      </c>
      <c r="C31" s="13" t="s">
        <v>8</v>
      </c>
    </row>
    <row r="32" spans="1:3" x14ac:dyDescent="0.4">
      <c r="A32" s="13" t="s">
        <v>11</v>
      </c>
      <c r="B32" s="13" t="s">
        <v>18</v>
      </c>
      <c r="C32" s="13" t="s">
        <v>15</v>
      </c>
    </row>
    <row r="33" spans="1:3" x14ac:dyDescent="0.4">
      <c r="A33" s="13" t="s">
        <v>11</v>
      </c>
      <c r="B33" s="13" t="s">
        <v>18</v>
      </c>
      <c r="C33" s="13" t="s">
        <v>7</v>
      </c>
    </row>
    <row r="34" spans="1:3" x14ac:dyDescent="0.4">
      <c r="A34" s="13" t="s">
        <v>11</v>
      </c>
      <c r="B34" s="13" t="s">
        <v>18</v>
      </c>
      <c r="C34" s="13" t="s">
        <v>5</v>
      </c>
    </row>
    <row r="35" spans="1:3" x14ac:dyDescent="0.4">
      <c r="A35" s="13" t="s">
        <v>11</v>
      </c>
      <c r="B35" s="13" t="s">
        <v>18</v>
      </c>
      <c r="C35" s="13" t="s">
        <v>7</v>
      </c>
    </row>
    <row r="36" spans="1:3" x14ac:dyDescent="0.4">
      <c r="A36" s="13" t="s">
        <v>11</v>
      </c>
      <c r="B36" s="13" t="s">
        <v>18</v>
      </c>
      <c r="C36" s="13" t="s">
        <v>17</v>
      </c>
    </row>
    <row r="37" spans="1:3" x14ac:dyDescent="0.4">
      <c r="A37" s="13" t="s">
        <v>11</v>
      </c>
      <c r="B37" s="13" t="s">
        <v>18</v>
      </c>
      <c r="C37" s="13" t="s">
        <v>16</v>
      </c>
    </row>
    <row r="38" spans="1:3" x14ac:dyDescent="0.4">
      <c r="A38" s="13" t="s">
        <v>11</v>
      </c>
      <c r="B38" s="13" t="s">
        <v>18</v>
      </c>
      <c r="C38" s="13" t="s">
        <v>8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A3F5-8403-40B3-9206-1F6B8734735B}">
  <sheetPr codeName="Sheet7"/>
  <dimension ref="A1:B5"/>
  <sheetViews>
    <sheetView zoomScaleNormal="100" workbookViewId="0">
      <pane xSplit="1" ySplit="1" topLeftCell="B2" activePane="bottomRight" state="frozen"/>
      <selection activeCell="B18" sqref="B18"/>
      <selection pane="topRight" activeCell="B18" sqref="B18"/>
      <selection pane="bottomLeft" activeCell="B18" sqref="B18"/>
      <selection pane="bottomRight" activeCell="B18" sqref="B18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x14ac:dyDescent="0.4">
      <c r="A2" s="23" t="s">
        <v>29</v>
      </c>
      <c r="B2" s="24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B0456-F442-4DA1-930B-469A49AB43D3}">
  <sheetPr codeName="Sheet11"/>
  <dimension ref="B1:T37"/>
  <sheetViews>
    <sheetView workbookViewId="0">
      <selection activeCell="B18" sqref="B18"/>
    </sheetView>
  </sheetViews>
  <sheetFormatPr defaultRowHeight="12" x14ac:dyDescent="0.4"/>
  <cols>
    <col min="1" max="1" width="3.125" style="13" customWidth="1"/>
    <col min="2" max="2" width="6.75" style="13" bestFit="1" customWidth="1"/>
    <col min="3" max="3" width="18.625" style="13" bestFit="1" customWidth="1"/>
    <col min="4" max="4" width="6.75" style="13" bestFit="1" customWidth="1"/>
    <col min="5" max="5" width="15" style="13" bestFit="1" customWidth="1"/>
    <col min="6" max="6" width="6.75" style="13" bestFit="1" customWidth="1"/>
    <col min="7" max="8" width="4.375" style="13" bestFit="1" customWidth="1"/>
    <col min="9" max="9" width="15" style="13" bestFit="1" customWidth="1"/>
    <col min="10" max="10" width="6.75" style="13" bestFit="1" customWidth="1"/>
    <col min="11" max="12" width="4.375" style="13" bestFit="1" customWidth="1"/>
    <col min="13" max="14" width="6.75" style="13" bestFit="1" customWidth="1"/>
    <col min="15" max="16" width="4.375" style="13" bestFit="1" customWidth="1"/>
    <col min="17" max="17" width="6.75" style="13" bestFit="1" customWidth="1"/>
    <col min="18" max="16384" width="9" style="13"/>
  </cols>
  <sheetData>
    <row r="1" spans="2:20" x14ac:dyDescent="0.4">
      <c r="E1" s="34" t="s">
        <v>46</v>
      </c>
      <c r="F1" s="34"/>
      <c r="G1" s="34"/>
      <c r="H1" s="34"/>
      <c r="I1" s="33" t="s">
        <v>49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21</v>
      </c>
      <c r="F2" s="32" t="s">
        <v>35</v>
      </c>
      <c r="G2" s="32" t="s">
        <v>47</v>
      </c>
      <c r="H2" s="32" t="s">
        <v>48</v>
      </c>
      <c r="I2" s="32" t="s">
        <v>21</v>
      </c>
      <c r="J2" s="32" t="s">
        <v>35</v>
      </c>
      <c r="K2" s="32" t="s">
        <v>47</v>
      </c>
      <c r="L2" s="32" t="s">
        <v>48</v>
      </c>
      <c r="M2" s="32" t="s">
        <v>21</v>
      </c>
      <c r="N2" s="32" t="s">
        <v>35</v>
      </c>
      <c r="O2" s="32" t="s">
        <v>47</v>
      </c>
      <c r="P2" s="32" t="s">
        <v>48</v>
      </c>
      <c r="Q2" s="32" t="s">
        <v>44</v>
      </c>
    </row>
    <row r="3" spans="2:20" x14ac:dyDescent="0.4">
      <c r="B3" s="31" t="s">
        <v>6</v>
      </c>
      <c r="C3" s="31" t="s">
        <v>15</v>
      </c>
      <c r="D3" s="28"/>
      <c r="E3" s="31" t="s">
        <v>9</v>
      </c>
      <c r="F3" s="31">
        <v>10</v>
      </c>
      <c r="G3" s="31"/>
      <c r="H3" s="31"/>
      <c r="I3" s="31" t="s">
        <v>36</v>
      </c>
      <c r="J3" s="31">
        <v>2</v>
      </c>
      <c r="K3" s="31"/>
      <c r="L3" s="31"/>
      <c r="M3" s="31"/>
      <c r="N3" s="31"/>
      <c r="O3" s="31"/>
      <c r="P3" s="31"/>
      <c r="Q3" s="31"/>
      <c r="R3" s="40" t="str">
        <f>$B$3&amp;$C$3&amp;$E$3</f>
        <v>国語ウナギの謎を追って思考・判断・表現</v>
      </c>
      <c r="S3" s="40" t="str">
        <f>$B$3&amp;$C$3&amp;$I$3</f>
        <v>国語ウナギの謎を追って知識・技能</v>
      </c>
      <c r="T3" s="40" t="str">
        <f>$B$3&amp;$C$3&amp;$M$3</f>
        <v>国語ウナギの謎を追って</v>
      </c>
    </row>
    <row r="4" spans="2:20" x14ac:dyDescent="0.4">
      <c r="B4" s="31" t="s">
        <v>6</v>
      </c>
      <c r="C4" s="31" t="s">
        <v>5</v>
      </c>
      <c r="D4" s="31"/>
      <c r="E4" s="31" t="s">
        <v>36</v>
      </c>
      <c r="F4" s="31"/>
      <c r="G4" s="31"/>
      <c r="H4" s="31"/>
      <c r="I4" s="31" t="s">
        <v>36</v>
      </c>
      <c r="J4" s="31"/>
      <c r="K4" s="31"/>
      <c r="L4" s="31"/>
      <c r="M4" s="31"/>
      <c r="N4" s="31"/>
      <c r="O4" s="31"/>
      <c r="P4" s="31"/>
      <c r="Q4" s="31"/>
      <c r="R4" s="40" t="str">
        <f>$B$4&amp;$C$4&amp;$E$4</f>
        <v>国語もしもの時に備えよう知識・技能</v>
      </c>
      <c r="S4" s="40" t="str">
        <f>$B$4&amp;$C$4&amp;$I$4</f>
        <v>国語もしもの時に備えよう知識・技能</v>
      </c>
      <c r="T4" s="40" t="str">
        <f>$B$4&amp;$C$4&amp;$M$4</f>
        <v>国語もしもの時に備えよう</v>
      </c>
    </row>
    <row r="5" spans="2:20" x14ac:dyDescent="0.4">
      <c r="B5" s="31" t="s">
        <v>6</v>
      </c>
      <c r="C5" s="31" t="s">
        <v>7</v>
      </c>
      <c r="D5" s="31"/>
      <c r="E5" s="31" t="s">
        <v>36</v>
      </c>
      <c r="F5" s="31"/>
      <c r="G5" s="31"/>
      <c r="H5" s="31"/>
      <c r="I5" s="31" t="s">
        <v>9</v>
      </c>
      <c r="J5" s="31"/>
      <c r="K5" s="31"/>
      <c r="L5" s="31"/>
      <c r="M5" s="31"/>
      <c r="N5" s="31"/>
      <c r="O5" s="31"/>
      <c r="P5" s="31"/>
      <c r="Q5" s="31"/>
      <c r="R5" s="40" t="str">
        <f>$B$5&amp;$C$5&amp;$E$5</f>
        <v>国語初雪の降る日知識・技能</v>
      </c>
      <c r="S5" s="40" t="str">
        <f>$B$5&amp;$C$5&amp;$I$5</f>
        <v>国語初雪の降る日思考・判断・表現</v>
      </c>
      <c r="T5" s="40" t="str">
        <f>$B$5&amp;$C$5&amp;$M$5</f>
        <v>国語初雪の降る日</v>
      </c>
    </row>
    <row r="6" spans="2:20" x14ac:dyDescent="0.4">
      <c r="B6" s="31" t="s">
        <v>6</v>
      </c>
      <c r="C6" s="31" t="s">
        <v>16</v>
      </c>
      <c r="D6" s="31"/>
      <c r="E6" s="31" t="s">
        <v>36</v>
      </c>
      <c r="F6" s="31"/>
      <c r="G6" s="31"/>
      <c r="H6" s="31"/>
      <c r="I6" s="31" t="s">
        <v>9</v>
      </c>
      <c r="J6" s="31"/>
      <c r="K6" s="31"/>
      <c r="L6" s="31"/>
      <c r="M6" s="31"/>
      <c r="N6" s="31"/>
      <c r="O6" s="31"/>
      <c r="P6" s="31"/>
      <c r="Q6" s="31"/>
      <c r="R6" s="40" t="str">
        <f>$B$6&amp;$C$6&amp;$E$6</f>
        <v>国語漢字の確かめ⑤知識・技能</v>
      </c>
      <c r="S6" s="40" t="str">
        <f>$B$6&amp;$C$6&amp;$I$6</f>
        <v>国語漢字の確かめ⑤思考・判断・表現</v>
      </c>
      <c r="T6" s="40" t="str">
        <f>$B$6&amp;$C$6&amp;$M$6</f>
        <v>国語漢字の確かめ⑤</v>
      </c>
    </row>
    <row r="7" spans="2:20" x14ac:dyDescent="0.4">
      <c r="B7" s="31" t="s">
        <v>6</v>
      </c>
      <c r="C7" s="31" t="s">
        <v>8</v>
      </c>
      <c r="D7" s="31"/>
      <c r="E7" s="31" t="s">
        <v>36</v>
      </c>
      <c r="F7" s="31"/>
      <c r="G7" s="31"/>
      <c r="H7" s="31"/>
      <c r="I7" s="31" t="s">
        <v>9</v>
      </c>
      <c r="J7" s="31"/>
      <c r="K7" s="31"/>
      <c r="L7" s="31"/>
      <c r="M7" s="31"/>
      <c r="N7" s="31"/>
      <c r="O7" s="31"/>
      <c r="P7" s="31"/>
      <c r="Q7" s="31"/>
      <c r="R7" s="40" t="str">
        <f>$B$7&amp;$C$7&amp;$E$7</f>
        <v>国語4年のまとめ知識・技能</v>
      </c>
      <c r="S7" s="40" t="str">
        <f>$B$7&amp;$C$7&amp;$I$7</f>
        <v>国語4年のまとめ思考・判断・表現</v>
      </c>
      <c r="T7" s="40" t="str">
        <f>$B$7&amp;$C$7&amp;$M$7</f>
        <v>国語4年のまとめ</v>
      </c>
    </row>
    <row r="8" spans="2:20" x14ac:dyDescent="0.4">
      <c r="B8" s="31" t="s">
        <v>6</v>
      </c>
      <c r="C8" s="31" t="s">
        <v>17</v>
      </c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40" t="str">
        <f>$B$8&amp;$C$8&amp;$E$8</f>
        <v>国語話すこと・聞くこと②</v>
      </c>
      <c r="S8" s="40" t="str">
        <f>$B$8&amp;$C$8&amp;$I$8</f>
        <v>国語話すこと・聞くこと②</v>
      </c>
      <c r="T8" s="40" t="str">
        <f>$B$8&amp;$C$8&amp;$M$8</f>
        <v>国語話すこと・聞くこと②</v>
      </c>
    </row>
    <row r="9" spans="2:20" x14ac:dyDescent="0.4">
      <c r="B9" s="31" t="s">
        <v>11</v>
      </c>
      <c r="C9" s="31" t="s">
        <v>15</v>
      </c>
      <c r="D9" s="31"/>
      <c r="E9" s="31" t="s">
        <v>36</v>
      </c>
      <c r="F9" s="31"/>
      <c r="G9" s="31"/>
      <c r="H9" s="31"/>
      <c r="I9" s="31" t="s">
        <v>9</v>
      </c>
      <c r="J9" s="31"/>
      <c r="K9" s="31"/>
      <c r="L9" s="31"/>
      <c r="M9" s="31"/>
      <c r="N9" s="31"/>
      <c r="O9" s="31"/>
      <c r="P9" s="31"/>
      <c r="Q9" s="31"/>
      <c r="R9" s="40" t="str">
        <f>$B$9&amp;$C$9&amp;$E$9</f>
        <v>算数ウナギの謎を追って知識・技能</v>
      </c>
      <c r="S9" s="40" t="str">
        <f>$B$9&amp;$C$9&amp;$I$9</f>
        <v>算数ウナギの謎を追って思考・判断・表現</v>
      </c>
      <c r="T9" s="40" t="str">
        <f>$B$9&amp;$C$9&amp;$M$9</f>
        <v>算数ウナギの謎を追って</v>
      </c>
    </row>
    <row r="10" spans="2:20" x14ac:dyDescent="0.4">
      <c r="B10" s="31" t="s">
        <v>11</v>
      </c>
      <c r="C10" s="31" t="s">
        <v>5</v>
      </c>
      <c r="D10" s="31"/>
      <c r="E10" s="31" t="s">
        <v>36</v>
      </c>
      <c r="F10" s="31"/>
      <c r="G10" s="31"/>
      <c r="H10" s="31"/>
      <c r="I10" s="31" t="s">
        <v>9</v>
      </c>
      <c r="J10" s="31"/>
      <c r="K10" s="31"/>
      <c r="L10" s="31"/>
      <c r="M10" s="31"/>
      <c r="N10" s="31"/>
      <c r="O10" s="31"/>
      <c r="P10" s="31"/>
      <c r="Q10" s="31"/>
      <c r="R10" s="40" t="str">
        <f>$B$10&amp;$C$10&amp;$E$10</f>
        <v>算数もしもの時に備えよう知識・技能</v>
      </c>
      <c r="S10" s="40" t="str">
        <f>$B$10&amp;$C$10&amp;$I$10</f>
        <v>算数もしもの時に備えよう思考・判断・表現</v>
      </c>
      <c r="T10" s="40" t="str">
        <f>$B$10&amp;$C$10&amp;$M$10</f>
        <v>算数もしもの時に備えよう</v>
      </c>
    </row>
    <row r="11" spans="2:20" x14ac:dyDescent="0.4">
      <c r="B11" s="31" t="s">
        <v>11</v>
      </c>
      <c r="C11" s="31" t="s">
        <v>7</v>
      </c>
      <c r="D11" s="31"/>
      <c r="E11" s="31" t="s">
        <v>36</v>
      </c>
      <c r="F11" s="31"/>
      <c r="G11" s="31"/>
      <c r="H11" s="31"/>
      <c r="I11" s="31" t="s">
        <v>9</v>
      </c>
      <c r="J11" s="31"/>
      <c r="K11" s="31"/>
      <c r="L11" s="31"/>
      <c r="M11" s="31"/>
      <c r="N11" s="31"/>
      <c r="O11" s="31"/>
      <c r="P11" s="31"/>
      <c r="Q11" s="31"/>
      <c r="R11" s="40" t="str">
        <f>$B$11&amp;$C$11&amp;$E$11</f>
        <v>算数初雪の降る日知識・技能</v>
      </c>
      <c r="S11" s="40" t="str">
        <f>$B$11&amp;$C$11&amp;$I$11</f>
        <v>算数初雪の降る日思考・判断・表現</v>
      </c>
      <c r="T11" s="40" t="str">
        <f>$B$11&amp;$C$11&amp;$M$11</f>
        <v>算数初雪の降る日</v>
      </c>
    </row>
    <row r="12" spans="2:20" x14ac:dyDescent="0.4">
      <c r="B12" s="31" t="s">
        <v>11</v>
      </c>
      <c r="C12" s="31" t="s">
        <v>16</v>
      </c>
      <c r="D12" s="31"/>
      <c r="E12" s="31" t="s">
        <v>36</v>
      </c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40" t="str">
        <f>$B$12&amp;$C$12&amp;$E$12</f>
        <v>算数漢字の確かめ⑤知識・技能</v>
      </c>
      <c r="S12" s="40" t="str">
        <f>$B$12&amp;$C$12&amp;$I$12</f>
        <v>算数漢字の確かめ⑤</v>
      </c>
      <c r="T12" s="40" t="str">
        <f>$B$12&amp;$C$12&amp;$M$12</f>
        <v>算数漢字の確かめ⑤</v>
      </c>
    </row>
    <row r="13" spans="2:20" x14ac:dyDescent="0.4">
      <c r="B13" s="31" t="s">
        <v>11</v>
      </c>
      <c r="C13" s="31" t="s">
        <v>8</v>
      </c>
      <c r="D13" s="31"/>
      <c r="E13" s="31" t="s">
        <v>36</v>
      </c>
      <c r="F13" s="31"/>
      <c r="G13" s="31"/>
      <c r="H13" s="31"/>
      <c r="I13" s="31" t="s">
        <v>9</v>
      </c>
      <c r="J13" s="31"/>
      <c r="K13" s="31"/>
      <c r="L13" s="31"/>
      <c r="M13" s="31"/>
      <c r="N13" s="31"/>
      <c r="O13" s="31"/>
      <c r="P13" s="31"/>
      <c r="Q13" s="31"/>
      <c r="R13" s="40" t="str">
        <f>$B$13&amp;$C$13&amp;$E$13</f>
        <v>算数4年のまとめ知識・技能</v>
      </c>
      <c r="S13" s="40" t="str">
        <f>$B$13&amp;$C$13&amp;$I$13</f>
        <v>算数4年のまとめ思考・判断・表現</v>
      </c>
      <c r="T13" s="40" t="str">
        <f>$B$13&amp;$C$13&amp;$M$13</f>
        <v>算数4年のまとめ</v>
      </c>
    </row>
    <row r="14" spans="2:20" x14ac:dyDescent="0.4">
      <c r="B14" s="31" t="s">
        <v>11</v>
      </c>
      <c r="C14" s="31" t="s">
        <v>17</v>
      </c>
      <c r="D14" s="31"/>
      <c r="E14" s="31" t="s">
        <v>9</v>
      </c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40" t="str">
        <f>$B$14&amp;$C$14&amp;$E$14</f>
        <v>算数話すこと・聞くこと②思考・判断・表現</v>
      </c>
      <c r="S14" s="40" t="str">
        <f>$B$14&amp;$C$14&amp;$I$14</f>
        <v>算数話すこと・聞くこと②</v>
      </c>
      <c r="T14" s="40" t="str">
        <f>$B$14&amp;$C$14&amp;$M$14</f>
        <v>算数話すこと・聞くこと②</v>
      </c>
    </row>
    <row r="15" spans="2:20" ht="18.75" x14ac:dyDescent="0.4">
      <c r="B15"/>
      <c r="C15"/>
    </row>
    <row r="16" spans="2:20" ht="18.75" x14ac:dyDescent="0.4">
      <c r="B16"/>
      <c r="C16"/>
    </row>
    <row r="17" spans="2:3" ht="18.75" x14ac:dyDescent="0.4">
      <c r="B17"/>
      <c r="C17"/>
    </row>
    <row r="18" spans="2:3" ht="18.75" x14ac:dyDescent="0.4">
      <c r="B18"/>
      <c r="C18"/>
    </row>
    <row r="19" spans="2:3" ht="18.75" x14ac:dyDescent="0.4">
      <c r="B19"/>
      <c r="C19"/>
    </row>
    <row r="20" spans="2:3" ht="18.75" x14ac:dyDescent="0.4">
      <c r="B20"/>
      <c r="C20"/>
    </row>
    <row r="21" spans="2:3" ht="18.75" x14ac:dyDescent="0.4">
      <c r="B21"/>
      <c r="C21"/>
    </row>
    <row r="22" spans="2:3" ht="18.75" x14ac:dyDescent="0.4">
      <c r="B22"/>
      <c r="C22"/>
    </row>
    <row r="23" spans="2:3" ht="18.75" x14ac:dyDescent="0.4">
      <c r="B23"/>
      <c r="C23"/>
    </row>
    <row r="24" spans="2:3" ht="18.75" x14ac:dyDescent="0.4">
      <c r="B24"/>
      <c r="C24"/>
    </row>
    <row r="25" spans="2:3" ht="18.75" x14ac:dyDescent="0.4">
      <c r="B25"/>
      <c r="C25"/>
    </row>
    <row r="26" spans="2:3" ht="18.75" x14ac:dyDescent="0.4">
      <c r="B26"/>
      <c r="C26"/>
    </row>
    <row r="27" spans="2:3" ht="18.75" x14ac:dyDescent="0.4">
      <c r="B27"/>
      <c r="C27"/>
    </row>
    <row r="28" spans="2:3" ht="18.75" x14ac:dyDescent="0.4">
      <c r="B28"/>
      <c r="C28"/>
    </row>
    <row r="29" spans="2:3" ht="18.75" x14ac:dyDescent="0.4">
      <c r="B29"/>
      <c r="C29"/>
    </row>
    <row r="30" spans="2:3" ht="18.75" x14ac:dyDescent="0.4">
      <c r="B30"/>
      <c r="C30"/>
    </row>
    <row r="31" spans="2:3" ht="18.75" x14ac:dyDescent="0.4">
      <c r="B31"/>
      <c r="C31"/>
    </row>
    <row r="32" spans="2:3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</sheetData>
  <autoFilter ref="B2:Q14" xr:uid="{7AA99C83-EB14-4B3A-A05A-DFAB4F2C1D0B}"/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57395-B7E7-4DE7-8233-377F5FF2173E}">
  <sheetPr codeName="Sheet10"/>
  <dimension ref="A1:F11"/>
  <sheetViews>
    <sheetView tabSelected="1" workbookViewId="0"/>
  </sheetViews>
  <sheetFormatPr defaultRowHeight="12" x14ac:dyDescent="0.4"/>
  <cols>
    <col min="1" max="1" width="4.75" style="59" bestFit="1" customWidth="1"/>
    <col min="2" max="2" width="24" style="59" bestFit="1" customWidth="1"/>
    <col min="3" max="5" width="7.375" style="59" bestFit="1" customWidth="1"/>
    <col min="6" max="6" width="27.625" style="59" bestFit="1" customWidth="1"/>
    <col min="7" max="16384" width="9" style="59"/>
  </cols>
  <sheetData>
    <row r="1" spans="1:6" x14ac:dyDescent="0.4">
      <c r="C1" s="63" t="s">
        <v>68</v>
      </c>
      <c r="D1" s="63"/>
      <c r="E1" s="63"/>
    </row>
    <row r="2" spans="1:6" ht="24" x14ac:dyDescent="0.4">
      <c r="A2" s="64"/>
      <c r="B2" s="64" t="s">
        <v>61</v>
      </c>
      <c r="C2" s="65" t="s">
        <v>69</v>
      </c>
      <c r="D2" s="65" t="s">
        <v>70</v>
      </c>
      <c r="E2" s="65" t="s">
        <v>71</v>
      </c>
    </row>
    <row r="3" spans="1:6" x14ac:dyDescent="0.4">
      <c r="A3" s="46" t="s">
        <v>64</v>
      </c>
      <c r="B3" s="46" t="s">
        <v>65</v>
      </c>
      <c r="C3" s="62">
        <v>95</v>
      </c>
      <c r="D3" s="62">
        <v>65</v>
      </c>
      <c r="E3" s="62">
        <v>65</v>
      </c>
      <c r="F3" s="66" t="str">
        <f>$A$3&amp;$B$3</f>
        <v>国語知識・技能</v>
      </c>
    </row>
    <row r="4" spans="1:6" x14ac:dyDescent="0.4">
      <c r="A4" s="46" t="s">
        <v>64</v>
      </c>
      <c r="B4" s="46" t="s">
        <v>58</v>
      </c>
      <c r="C4" s="62">
        <v>90</v>
      </c>
      <c r="D4" s="62">
        <v>50</v>
      </c>
      <c r="E4" s="62">
        <v>50</v>
      </c>
      <c r="F4" s="66" t="str">
        <f>$A$4&amp;$B$4</f>
        <v>国語思考・判断・表現</v>
      </c>
    </row>
    <row r="5" spans="1:6" x14ac:dyDescent="0.4">
      <c r="A5" s="46" t="s">
        <v>64</v>
      </c>
      <c r="B5" s="46" t="s">
        <v>59</v>
      </c>
      <c r="C5" s="62"/>
      <c r="D5" s="62"/>
      <c r="E5" s="62"/>
      <c r="F5" s="66" t="str">
        <f>$A$5&amp;$B$5</f>
        <v>国語主体的に学習に取り組む態度</v>
      </c>
    </row>
    <row r="6" spans="1:6" x14ac:dyDescent="0.4">
      <c r="A6" s="46" t="s">
        <v>66</v>
      </c>
      <c r="B6" s="46" t="s">
        <v>65</v>
      </c>
      <c r="C6" s="62">
        <v>95</v>
      </c>
      <c r="D6" s="62">
        <v>65</v>
      </c>
      <c r="E6" s="62">
        <v>65</v>
      </c>
      <c r="F6" s="66" t="str">
        <f>$A$6&amp;$B$6</f>
        <v>算数知識・技能</v>
      </c>
    </row>
    <row r="7" spans="1:6" x14ac:dyDescent="0.4">
      <c r="A7" s="46" t="s">
        <v>66</v>
      </c>
      <c r="B7" s="46" t="s">
        <v>58</v>
      </c>
      <c r="C7" s="62">
        <v>90</v>
      </c>
      <c r="D7" s="62">
        <v>50</v>
      </c>
      <c r="E7" s="62">
        <v>50</v>
      </c>
      <c r="F7" s="66" t="str">
        <f>$A$7&amp;$B$7</f>
        <v>算数思考・判断・表現</v>
      </c>
    </row>
    <row r="8" spans="1:6" x14ac:dyDescent="0.4">
      <c r="A8" s="46" t="s">
        <v>66</v>
      </c>
      <c r="B8" s="46" t="s">
        <v>59</v>
      </c>
      <c r="C8" s="62"/>
      <c r="D8" s="62"/>
      <c r="E8" s="62"/>
      <c r="F8" s="66" t="str">
        <f>$A$8&amp;$B$8</f>
        <v>算数主体的に学習に取り組む態度</v>
      </c>
    </row>
    <row r="9" spans="1:6" x14ac:dyDescent="0.4">
      <c r="A9" s="46" t="s">
        <v>67</v>
      </c>
      <c r="B9" s="46" t="s">
        <v>65</v>
      </c>
      <c r="C9" s="62"/>
      <c r="D9" s="62"/>
      <c r="E9" s="62"/>
      <c r="F9" s="66" t="str">
        <f>$A$9&amp;$B$9</f>
        <v>理科知識・技能</v>
      </c>
    </row>
    <row r="10" spans="1:6" x14ac:dyDescent="0.4">
      <c r="A10" s="46" t="s">
        <v>67</v>
      </c>
      <c r="B10" s="46" t="s">
        <v>58</v>
      </c>
      <c r="C10" s="62"/>
      <c r="D10" s="62"/>
      <c r="E10" s="62"/>
      <c r="F10" s="66" t="str">
        <f>$A$10&amp;$B$10</f>
        <v>理科思考・判断・表現</v>
      </c>
    </row>
    <row r="11" spans="1:6" x14ac:dyDescent="0.4">
      <c r="A11" s="46" t="s">
        <v>67</v>
      </c>
      <c r="B11" s="46" t="s">
        <v>59</v>
      </c>
      <c r="C11" s="62"/>
      <c r="D11" s="62"/>
      <c r="E11" s="62"/>
      <c r="F11" s="66" t="str">
        <f>$A$11&amp;$B$11</f>
        <v>理科主体的に学習に取り組む態度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FB79A-00A6-4D0F-97A0-E3BB4E3A0961}">
  <sheetPr codeName="Sheet9"/>
  <dimension ref="B1:T49"/>
  <sheetViews>
    <sheetView workbookViewId="0"/>
  </sheetViews>
  <sheetFormatPr defaultRowHeight="12" x14ac:dyDescent="0.4"/>
  <cols>
    <col min="1" max="1" width="3.125" style="59" customWidth="1"/>
    <col min="2" max="2" width="6.75" style="59" bestFit="1" customWidth="1"/>
    <col min="3" max="3" width="18.625" style="59" customWidth="1"/>
    <col min="4" max="4" width="6.75" style="59" bestFit="1" customWidth="1"/>
    <col min="5" max="5" width="15" style="59" bestFit="1" customWidth="1"/>
    <col min="6" max="6" width="6.75" style="59" bestFit="1" customWidth="1"/>
    <col min="7" max="8" width="4.375" style="59" bestFit="1" customWidth="1"/>
    <col min="9" max="9" width="15" style="59" bestFit="1" customWidth="1"/>
    <col min="10" max="10" width="6.75" style="59" bestFit="1" customWidth="1"/>
    <col min="11" max="12" width="4.375" style="59" bestFit="1" customWidth="1"/>
    <col min="13" max="14" width="6.75" style="59" bestFit="1" customWidth="1"/>
    <col min="15" max="16" width="4.375" style="59" bestFit="1" customWidth="1"/>
    <col min="17" max="17" width="6.75" style="59" bestFit="1" customWidth="1"/>
    <col min="18" max="16384" width="9" style="59"/>
  </cols>
  <sheetData>
    <row r="1" spans="2:20" x14ac:dyDescent="0.4">
      <c r="E1" s="34" t="s">
        <v>72</v>
      </c>
      <c r="F1" s="34"/>
      <c r="G1" s="34"/>
      <c r="H1" s="34"/>
      <c r="I1" s="33" t="s">
        <v>74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61</v>
      </c>
      <c r="F2" s="32" t="s">
        <v>51</v>
      </c>
      <c r="G2" s="32" t="s">
        <v>62</v>
      </c>
      <c r="H2" s="32" t="s">
        <v>63</v>
      </c>
      <c r="I2" s="32" t="s">
        <v>61</v>
      </c>
      <c r="J2" s="32" t="s">
        <v>51</v>
      </c>
      <c r="K2" s="32" t="s">
        <v>62</v>
      </c>
      <c r="L2" s="32" t="s">
        <v>63</v>
      </c>
      <c r="M2" s="32" t="s">
        <v>61</v>
      </c>
      <c r="N2" s="32" t="s">
        <v>51</v>
      </c>
      <c r="O2" s="32" t="s">
        <v>62</v>
      </c>
      <c r="P2" s="32" t="s">
        <v>63</v>
      </c>
      <c r="Q2" s="32" t="s">
        <v>73</v>
      </c>
    </row>
    <row r="3" spans="2:20" x14ac:dyDescent="0.4">
      <c r="B3" s="62" t="s">
        <v>6</v>
      </c>
      <c r="C3" s="62" t="s">
        <v>15</v>
      </c>
      <c r="D3" s="61"/>
      <c r="E3" s="62" t="s">
        <v>65</v>
      </c>
      <c r="F3" s="62" t="s">
        <v>75</v>
      </c>
      <c r="G3" s="62">
        <v>1</v>
      </c>
      <c r="H3" s="62">
        <v>2</v>
      </c>
      <c r="I3" s="62" t="s">
        <v>58</v>
      </c>
      <c r="J3" s="62" t="s">
        <v>75</v>
      </c>
      <c r="K3" s="62">
        <v>1</v>
      </c>
      <c r="L3" s="62">
        <v>2</v>
      </c>
      <c r="M3" s="62"/>
      <c r="N3" s="62" t="s">
        <v>75</v>
      </c>
      <c r="O3" s="62">
        <v>1</v>
      </c>
      <c r="P3" s="62">
        <v>2</v>
      </c>
      <c r="Q3" s="62"/>
      <c r="R3" s="60" t="str">
        <f>$B$3&amp;$C$3&amp;$E$3</f>
        <v>国語ウナギの謎を追って知識・技能</v>
      </c>
      <c r="S3" s="60" t="str">
        <f>$B$3&amp;$C$3&amp;$I$3</f>
        <v>国語ウナギの謎を追って思考・判断・表現</v>
      </c>
      <c r="T3" s="60" t="str">
        <f>$B$3&amp;$C$3&amp;$M$3</f>
        <v>国語ウナギの謎を追って</v>
      </c>
    </row>
    <row r="4" spans="2:20" x14ac:dyDescent="0.4">
      <c r="B4" s="62" t="s">
        <v>6</v>
      </c>
      <c r="C4" s="62" t="s">
        <v>5</v>
      </c>
      <c r="D4" s="62"/>
      <c r="E4" s="62" t="s">
        <v>58</v>
      </c>
      <c r="F4" s="62" t="s">
        <v>75</v>
      </c>
      <c r="G4" s="62">
        <v>1</v>
      </c>
      <c r="H4" s="62">
        <v>2</v>
      </c>
      <c r="I4" s="62"/>
      <c r="J4" s="62" t="s">
        <v>75</v>
      </c>
      <c r="K4" s="62">
        <v>1</v>
      </c>
      <c r="L4" s="62">
        <v>2</v>
      </c>
      <c r="M4" s="62"/>
      <c r="N4" s="62" t="s">
        <v>75</v>
      </c>
      <c r="O4" s="62">
        <v>1</v>
      </c>
      <c r="P4" s="62">
        <v>2</v>
      </c>
      <c r="Q4" s="62"/>
      <c r="R4" s="60" t="str">
        <f>$B$4&amp;$C$4&amp;$E$4</f>
        <v>国語もしもの時に備えよう思考・判断・表現</v>
      </c>
      <c r="S4" s="60" t="str">
        <f>$B$4&amp;$C$4&amp;$I$4</f>
        <v>国語もしもの時に備えよう</v>
      </c>
      <c r="T4" s="60" t="str">
        <f>$B$4&amp;$C$4&amp;$M$4</f>
        <v>国語もしもの時に備えよう</v>
      </c>
    </row>
    <row r="5" spans="2:20" x14ac:dyDescent="0.4">
      <c r="B5" s="62" t="s">
        <v>6</v>
      </c>
      <c r="C5" s="62" t="s">
        <v>7</v>
      </c>
      <c r="D5" s="62"/>
      <c r="E5" s="62"/>
      <c r="F5" s="62" t="s">
        <v>75</v>
      </c>
      <c r="G5" s="62">
        <v>1</v>
      </c>
      <c r="H5" s="62">
        <v>2</v>
      </c>
      <c r="I5" s="62" t="s">
        <v>58</v>
      </c>
      <c r="J5" s="62" t="s">
        <v>75</v>
      </c>
      <c r="K5" s="62">
        <v>1</v>
      </c>
      <c r="L5" s="62">
        <v>2</v>
      </c>
      <c r="M5" s="62"/>
      <c r="N5" s="62" t="s">
        <v>75</v>
      </c>
      <c r="O5" s="62">
        <v>1</v>
      </c>
      <c r="P5" s="62">
        <v>2</v>
      </c>
      <c r="Q5" s="62"/>
      <c r="R5" s="60" t="str">
        <f>$B$5&amp;$C$5&amp;$E$5</f>
        <v>国語初雪の降る日</v>
      </c>
      <c r="S5" s="60" t="str">
        <f>$B$5&amp;$C$5&amp;$I$5</f>
        <v>国語初雪の降る日思考・判断・表現</v>
      </c>
      <c r="T5" s="60" t="str">
        <f>$B$5&amp;$C$5&amp;$M$5</f>
        <v>国語初雪の降る日</v>
      </c>
    </row>
    <row r="6" spans="2:20" x14ac:dyDescent="0.4">
      <c r="B6" s="62" t="s">
        <v>6</v>
      </c>
      <c r="C6" s="62" t="s">
        <v>16</v>
      </c>
      <c r="D6" s="62"/>
      <c r="E6" s="62" t="s">
        <v>65</v>
      </c>
      <c r="F6" s="62" t="s">
        <v>75</v>
      </c>
      <c r="G6" s="62">
        <v>1</v>
      </c>
      <c r="H6" s="62">
        <v>2</v>
      </c>
      <c r="I6" s="62" t="s">
        <v>58</v>
      </c>
      <c r="J6" s="62" t="s">
        <v>75</v>
      </c>
      <c r="K6" s="62">
        <v>1</v>
      </c>
      <c r="L6" s="62">
        <v>2</v>
      </c>
      <c r="M6" s="62"/>
      <c r="N6" s="62" t="s">
        <v>75</v>
      </c>
      <c r="O6" s="62">
        <v>1</v>
      </c>
      <c r="P6" s="62">
        <v>2</v>
      </c>
      <c r="Q6" s="62"/>
      <c r="R6" s="60" t="str">
        <f>$B$6&amp;$C$6&amp;$E$6</f>
        <v>国語漢字の確かめ⑤知識・技能</v>
      </c>
      <c r="S6" s="60" t="str">
        <f>$B$6&amp;$C$6&amp;$I$6</f>
        <v>国語漢字の確かめ⑤思考・判断・表現</v>
      </c>
      <c r="T6" s="60" t="str">
        <f>$B$6&amp;$C$6&amp;$M$6</f>
        <v>国語漢字の確かめ⑤</v>
      </c>
    </row>
    <row r="7" spans="2:20" x14ac:dyDescent="0.4">
      <c r="B7" s="62" t="s">
        <v>6</v>
      </c>
      <c r="C7" s="62" t="s">
        <v>8</v>
      </c>
      <c r="D7" s="62"/>
      <c r="E7" s="62" t="s">
        <v>65</v>
      </c>
      <c r="F7" s="62" t="s">
        <v>75</v>
      </c>
      <c r="G7" s="62">
        <v>1</v>
      </c>
      <c r="H7" s="62">
        <v>2</v>
      </c>
      <c r="I7" s="62" t="s">
        <v>58</v>
      </c>
      <c r="J7" s="62" t="s">
        <v>75</v>
      </c>
      <c r="K7" s="62">
        <v>1</v>
      </c>
      <c r="L7" s="62">
        <v>2</v>
      </c>
      <c r="M7" s="62"/>
      <c r="N7" s="62" t="s">
        <v>75</v>
      </c>
      <c r="O7" s="62">
        <v>1</v>
      </c>
      <c r="P7" s="62">
        <v>2</v>
      </c>
      <c r="Q7" s="62"/>
      <c r="R7" s="60" t="str">
        <f>$B$7&amp;$C$7&amp;$E$7</f>
        <v>国語4年のまとめ知識・技能</v>
      </c>
      <c r="S7" s="60" t="str">
        <f>$B$7&amp;$C$7&amp;$I$7</f>
        <v>国語4年のまとめ思考・判断・表現</v>
      </c>
      <c r="T7" s="60" t="str">
        <f>$B$7&amp;$C$7&amp;$M$7</f>
        <v>国語4年のまとめ</v>
      </c>
    </row>
    <row r="8" spans="2:20" x14ac:dyDescent="0.4">
      <c r="B8" s="41"/>
      <c r="C8" s="62" t="s">
        <v>17</v>
      </c>
      <c r="D8" s="62"/>
      <c r="E8" s="62"/>
      <c r="F8" s="62" t="s">
        <v>75</v>
      </c>
      <c r="G8" s="62">
        <v>1</v>
      </c>
      <c r="H8" s="62">
        <v>2</v>
      </c>
      <c r="I8" s="62"/>
      <c r="J8" s="62" t="s">
        <v>75</v>
      </c>
      <c r="K8" s="62">
        <v>1</v>
      </c>
      <c r="L8" s="62">
        <v>2</v>
      </c>
      <c r="M8" s="62"/>
      <c r="N8" s="62" t="s">
        <v>75</v>
      </c>
      <c r="O8" s="62">
        <v>1</v>
      </c>
      <c r="P8" s="62">
        <v>2</v>
      </c>
      <c r="Q8" s="62"/>
      <c r="R8" s="60" t="str">
        <f>$B$8&amp;$C$8&amp;$E$8</f>
        <v>話すこと・聞くこと②</v>
      </c>
      <c r="S8" s="60" t="str">
        <f>$B$8&amp;$C$8&amp;$I$8</f>
        <v>話すこと・聞くこと②</v>
      </c>
      <c r="T8" s="60" t="str">
        <f>$B$8&amp;$C$8&amp;$M$8</f>
        <v>話すこと・聞くこと②</v>
      </c>
    </row>
    <row r="9" spans="2:20" x14ac:dyDescent="0.4">
      <c r="B9" s="62" t="s">
        <v>11</v>
      </c>
      <c r="C9" s="62" t="s">
        <v>15</v>
      </c>
      <c r="D9" s="62"/>
      <c r="E9" s="62" t="s">
        <v>65</v>
      </c>
      <c r="F9" s="62" t="s">
        <v>75</v>
      </c>
      <c r="G9" s="62">
        <v>1</v>
      </c>
      <c r="H9" s="62">
        <v>2</v>
      </c>
      <c r="I9" s="62" t="s">
        <v>58</v>
      </c>
      <c r="J9" s="62" t="s">
        <v>75</v>
      </c>
      <c r="K9" s="62">
        <v>1</v>
      </c>
      <c r="L9" s="62">
        <v>2</v>
      </c>
      <c r="M9" s="62"/>
      <c r="N9" s="62" t="s">
        <v>75</v>
      </c>
      <c r="O9" s="62">
        <v>1</v>
      </c>
      <c r="P9" s="62">
        <v>2</v>
      </c>
      <c r="Q9" s="62"/>
      <c r="R9" s="60" t="str">
        <f>$B$9&amp;$C$9&amp;$E$9</f>
        <v>算数ウナギの謎を追って知識・技能</v>
      </c>
      <c r="S9" s="60" t="str">
        <f>$B$9&amp;$C$9&amp;$I$9</f>
        <v>算数ウナギの謎を追って思考・判断・表現</v>
      </c>
      <c r="T9" s="60" t="str">
        <f>$B$9&amp;$C$9&amp;$M$9</f>
        <v>算数ウナギの謎を追って</v>
      </c>
    </row>
    <row r="10" spans="2:20" x14ac:dyDescent="0.4">
      <c r="B10" s="62" t="s">
        <v>11</v>
      </c>
      <c r="C10" s="62" t="s">
        <v>5</v>
      </c>
      <c r="D10" s="62"/>
      <c r="E10" s="62" t="s">
        <v>65</v>
      </c>
      <c r="F10" s="62" t="s">
        <v>75</v>
      </c>
      <c r="G10" s="62">
        <v>1</v>
      </c>
      <c r="H10" s="62">
        <v>2</v>
      </c>
      <c r="I10" s="62" t="s">
        <v>58</v>
      </c>
      <c r="J10" s="62" t="s">
        <v>75</v>
      </c>
      <c r="K10" s="62">
        <v>1</v>
      </c>
      <c r="L10" s="62">
        <v>2</v>
      </c>
      <c r="M10" s="62"/>
      <c r="N10" s="62" t="s">
        <v>75</v>
      </c>
      <c r="O10" s="62">
        <v>1</v>
      </c>
      <c r="P10" s="62">
        <v>2</v>
      </c>
      <c r="Q10" s="62"/>
      <c r="R10" s="60" t="str">
        <f>$B$10&amp;$C$10&amp;$E$10</f>
        <v>算数もしもの時に備えよう知識・技能</v>
      </c>
      <c r="S10" s="60" t="str">
        <f>$B$10&amp;$C$10&amp;$I$10</f>
        <v>算数もしもの時に備えよう思考・判断・表現</v>
      </c>
      <c r="T10" s="60" t="str">
        <f>$B$10&amp;$C$10&amp;$M$10</f>
        <v>算数もしもの時に備えよう</v>
      </c>
    </row>
    <row r="11" spans="2:20" x14ac:dyDescent="0.4">
      <c r="B11" s="62" t="s">
        <v>11</v>
      </c>
      <c r="C11" s="62" t="s">
        <v>7</v>
      </c>
      <c r="D11" s="62"/>
      <c r="E11" s="62" t="s">
        <v>65</v>
      </c>
      <c r="F11" s="62" t="s">
        <v>75</v>
      </c>
      <c r="G11" s="62">
        <v>1</v>
      </c>
      <c r="H11" s="62">
        <v>2</v>
      </c>
      <c r="I11" s="62" t="s">
        <v>58</v>
      </c>
      <c r="J11" s="62" t="s">
        <v>75</v>
      </c>
      <c r="K11" s="62">
        <v>1</v>
      </c>
      <c r="L11" s="62">
        <v>2</v>
      </c>
      <c r="M11" s="62"/>
      <c r="N11" s="62" t="s">
        <v>75</v>
      </c>
      <c r="O11" s="62">
        <v>1</v>
      </c>
      <c r="P11" s="62">
        <v>2</v>
      </c>
      <c r="Q11" s="62"/>
      <c r="R11" s="60" t="str">
        <f>$B$11&amp;$C$11&amp;$E$11</f>
        <v>算数初雪の降る日知識・技能</v>
      </c>
      <c r="S11" s="60" t="str">
        <f>$B$11&amp;$C$11&amp;$I$11</f>
        <v>算数初雪の降る日思考・判断・表現</v>
      </c>
      <c r="T11" s="60" t="str">
        <f>$B$11&amp;$C$11&amp;$M$11</f>
        <v>算数初雪の降る日</v>
      </c>
    </row>
    <row r="12" spans="2:20" x14ac:dyDescent="0.4">
      <c r="B12" s="62" t="s">
        <v>11</v>
      </c>
      <c r="C12" s="62" t="s">
        <v>16</v>
      </c>
      <c r="D12" s="62"/>
      <c r="E12" s="62" t="s">
        <v>65</v>
      </c>
      <c r="F12" s="62" t="s">
        <v>75</v>
      </c>
      <c r="G12" s="62">
        <v>1</v>
      </c>
      <c r="H12" s="62">
        <v>2</v>
      </c>
      <c r="I12" s="62"/>
      <c r="J12" s="62" t="s">
        <v>75</v>
      </c>
      <c r="K12" s="62">
        <v>1</v>
      </c>
      <c r="L12" s="62">
        <v>2</v>
      </c>
      <c r="M12" s="62"/>
      <c r="N12" s="62" t="s">
        <v>75</v>
      </c>
      <c r="O12" s="62">
        <v>1</v>
      </c>
      <c r="P12" s="62">
        <v>2</v>
      </c>
      <c r="Q12" s="62"/>
      <c r="R12" s="60" t="str">
        <f>$B$12&amp;$C$12&amp;$E$12</f>
        <v>算数漢字の確かめ⑤知識・技能</v>
      </c>
      <c r="S12" s="60" t="str">
        <f>$B$12&amp;$C$12&amp;$I$12</f>
        <v>算数漢字の確かめ⑤</v>
      </c>
      <c r="T12" s="60" t="str">
        <f>$B$12&amp;$C$12&amp;$M$12</f>
        <v>算数漢字の確かめ⑤</v>
      </c>
    </row>
    <row r="13" spans="2:20" x14ac:dyDescent="0.4">
      <c r="B13" s="62" t="s">
        <v>11</v>
      </c>
      <c r="C13" s="62" t="s">
        <v>8</v>
      </c>
      <c r="D13" s="62"/>
      <c r="E13" s="62" t="s">
        <v>65</v>
      </c>
      <c r="F13" s="62" t="s">
        <v>75</v>
      </c>
      <c r="G13" s="62">
        <v>1</v>
      </c>
      <c r="H13" s="62">
        <v>2</v>
      </c>
      <c r="I13" s="62" t="s">
        <v>58</v>
      </c>
      <c r="J13" s="62" t="s">
        <v>75</v>
      </c>
      <c r="K13" s="62">
        <v>1</v>
      </c>
      <c r="L13" s="62">
        <v>2</v>
      </c>
      <c r="M13" s="62"/>
      <c r="N13" s="62" t="s">
        <v>75</v>
      </c>
      <c r="O13" s="62">
        <v>1</v>
      </c>
      <c r="P13" s="62">
        <v>2</v>
      </c>
      <c r="Q13" s="62"/>
      <c r="R13" s="60" t="str">
        <f>$B$13&amp;$C$13&amp;$E$13</f>
        <v>算数4年のまとめ知識・技能</v>
      </c>
      <c r="S13" s="60" t="str">
        <f>$B$13&amp;$C$13&amp;$I$13</f>
        <v>算数4年のまとめ思考・判断・表現</v>
      </c>
      <c r="T13" s="60" t="str">
        <f>$B$13&amp;$C$13&amp;$M$13</f>
        <v>算数4年のまとめ</v>
      </c>
    </row>
    <row r="14" spans="2:20" x14ac:dyDescent="0.4">
      <c r="B14" s="62" t="s">
        <v>11</v>
      </c>
      <c r="C14" s="62" t="s">
        <v>17</v>
      </c>
      <c r="D14" s="62"/>
      <c r="E14" s="62" t="s">
        <v>58</v>
      </c>
      <c r="F14" s="62" t="s">
        <v>75</v>
      </c>
      <c r="G14" s="62">
        <v>1</v>
      </c>
      <c r="H14" s="62">
        <v>2</v>
      </c>
      <c r="I14" s="62"/>
      <c r="J14" s="62" t="s">
        <v>75</v>
      </c>
      <c r="K14" s="62">
        <v>1</v>
      </c>
      <c r="L14" s="62">
        <v>2</v>
      </c>
      <c r="M14" s="62"/>
      <c r="N14" s="62" t="s">
        <v>75</v>
      </c>
      <c r="O14" s="62">
        <v>1</v>
      </c>
      <c r="P14" s="62">
        <v>2</v>
      </c>
      <c r="Q14" s="62"/>
      <c r="R14" s="60" t="str">
        <f>$B$14&amp;$C$14&amp;$E$14</f>
        <v>算数話すこと・聞くこと②思考・判断・表現</v>
      </c>
      <c r="S14" s="60" t="str">
        <f>$B$14&amp;$C$14&amp;$I$14</f>
        <v>算数話すこと・聞くこと②</v>
      </c>
      <c r="T14" s="60" t="str">
        <f>$B$14&amp;$C$14&amp;$M$14</f>
        <v>算数話すこと・聞くこと②</v>
      </c>
    </row>
    <row r="15" spans="2:20" x14ac:dyDescent="0.4">
      <c r="B15" s="62" t="s">
        <v>60</v>
      </c>
      <c r="C15" s="62" t="s">
        <v>15</v>
      </c>
      <c r="D15" s="62"/>
      <c r="E15" s="62" t="s">
        <v>65</v>
      </c>
      <c r="F15" s="62" t="s">
        <v>75</v>
      </c>
      <c r="G15" s="62">
        <v>1</v>
      </c>
      <c r="H15" s="62">
        <v>2</v>
      </c>
      <c r="I15" s="62" t="s">
        <v>58</v>
      </c>
      <c r="J15" s="62" t="s">
        <v>75</v>
      </c>
      <c r="K15" s="62">
        <v>1</v>
      </c>
      <c r="L15" s="62">
        <v>2</v>
      </c>
      <c r="M15" s="62"/>
      <c r="N15" s="62" t="s">
        <v>75</v>
      </c>
      <c r="O15" s="62">
        <v>1</v>
      </c>
      <c r="P15" s="62">
        <v>2</v>
      </c>
      <c r="Q15" s="62"/>
      <c r="R15" s="60" t="str">
        <f>$B$15&amp;$C$15&amp;$E$15</f>
        <v>理科ウナギの謎を追って知識・技能</v>
      </c>
      <c r="S15" s="60" t="str">
        <f>$B$15&amp;$C$15&amp;$I$15</f>
        <v>理科ウナギの謎を追って思考・判断・表現</v>
      </c>
      <c r="T15" s="60" t="str">
        <f>$B$15&amp;$C$15&amp;$M$15</f>
        <v>理科ウナギの謎を追って</v>
      </c>
    </row>
    <row r="16" spans="2:20" x14ac:dyDescent="0.4">
      <c r="B16" s="62" t="s">
        <v>60</v>
      </c>
      <c r="C16" s="62" t="s">
        <v>5</v>
      </c>
      <c r="D16" s="62"/>
      <c r="E16" s="62" t="s">
        <v>65</v>
      </c>
      <c r="F16" s="62" t="s">
        <v>75</v>
      </c>
      <c r="G16" s="62">
        <v>1</v>
      </c>
      <c r="H16" s="62">
        <v>2</v>
      </c>
      <c r="I16" s="62" t="s">
        <v>58</v>
      </c>
      <c r="J16" s="62" t="s">
        <v>75</v>
      </c>
      <c r="K16" s="62">
        <v>1</v>
      </c>
      <c r="L16" s="62">
        <v>2</v>
      </c>
      <c r="M16" s="62"/>
      <c r="N16" s="62" t="s">
        <v>75</v>
      </c>
      <c r="O16" s="62">
        <v>1</v>
      </c>
      <c r="P16" s="62">
        <v>2</v>
      </c>
      <c r="Q16" s="62"/>
      <c r="R16" s="60" t="str">
        <f>$B$16&amp;$C$16&amp;$E$16</f>
        <v>理科もしもの時に備えよう知識・技能</v>
      </c>
      <c r="S16" s="60" t="str">
        <f>$B$16&amp;$C$16&amp;$I$16</f>
        <v>理科もしもの時に備えよう思考・判断・表現</v>
      </c>
      <c r="T16" s="60" t="str">
        <f>$B$16&amp;$C$16&amp;$M$16</f>
        <v>理科もしもの時に備えよう</v>
      </c>
    </row>
    <row r="17" spans="2:20" x14ac:dyDescent="0.4">
      <c r="B17" s="62" t="s">
        <v>60</v>
      </c>
      <c r="C17" s="62" t="s">
        <v>7</v>
      </c>
      <c r="D17" s="62"/>
      <c r="E17" s="62" t="s">
        <v>65</v>
      </c>
      <c r="F17" s="62" t="s">
        <v>75</v>
      </c>
      <c r="G17" s="62">
        <v>1</v>
      </c>
      <c r="H17" s="62">
        <v>2</v>
      </c>
      <c r="I17" s="62" t="s">
        <v>58</v>
      </c>
      <c r="J17" s="62" t="s">
        <v>75</v>
      </c>
      <c r="K17" s="62">
        <v>1</v>
      </c>
      <c r="L17" s="62">
        <v>2</v>
      </c>
      <c r="M17" s="62"/>
      <c r="N17" s="62" t="s">
        <v>75</v>
      </c>
      <c r="O17" s="62">
        <v>1</v>
      </c>
      <c r="P17" s="62">
        <v>2</v>
      </c>
      <c r="Q17" s="62"/>
      <c r="R17" s="60" t="str">
        <f>$B$17&amp;$C$17&amp;$E$17</f>
        <v>理科初雪の降る日知識・技能</v>
      </c>
      <c r="S17" s="60" t="str">
        <f>$B$17&amp;$C$17&amp;$I$17</f>
        <v>理科初雪の降る日思考・判断・表現</v>
      </c>
      <c r="T17" s="60" t="str">
        <f>$B$17&amp;$C$17&amp;$M$17</f>
        <v>理科初雪の降る日</v>
      </c>
    </row>
    <row r="18" spans="2:20" x14ac:dyDescent="0.4">
      <c r="B18" s="62" t="s">
        <v>60</v>
      </c>
      <c r="C18" s="62" t="s">
        <v>16</v>
      </c>
      <c r="D18" s="62"/>
      <c r="E18" s="62" t="s">
        <v>65</v>
      </c>
      <c r="F18" s="62" t="s">
        <v>75</v>
      </c>
      <c r="G18" s="62">
        <v>1</v>
      </c>
      <c r="H18" s="62">
        <v>2</v>
      </c>
      <c r="I18" s="62"/>
      <c r="J18" s="62" t="s">
        <v>75</v>
      </c>
      <c r="K18" s="62">
        <v>1</v>
      </c>
      <c r="L18" s="62">
        <v>2</v>
      </c>
      <c r="M18" s="62"/>
      <c r="N18" s="62" t="s">
        <v>75</v>
      </c>
      <c r="O18" s="62">
        <v>1</v>
      </c>
      <c r="P18" s="62">
        <v>2</v>
      </c>
      <c r="Q18" s="62"/>
      <c r="R18" s="60" t="str">
        <f>$B$18&amp;$C$18&amp;$E$18</f>
        <v>理科漢字の確かめ⑤知識・技能</v>
      </c>
      <c r="S18" s="60" t="str">
        <f>$B$18&amp;$C$18&amp;$I$18</f>
        <v>理科漢字の確かめ⑤</v>
      </c>
      <c r="T18" s="60" t="str">
        <f>$B$18&amp;$C$18&amp;$M$18</f>
        <v>理科漢字の確かめ⑤</v>
      </c>
    </row>
    <row r="19" spans="2:20" x14ac:dyDescent="0.4">
      <c r="B19" s="62" t="s">
        <v>60</v>
      </c>
      <c r="C19" s="62" t="s">
        <v>8</v>
      </c>
      <c r="D19" s="62"/>
      <c r="E19" s="62" t="s">
        <v>65</v>
      </c>
      <c r="F19" s="62" t="s">
        <v>75</v>
      </c>
      <c r="G19" s="62">
        <v>1</v>
      </c>
      <c r="H19" s="62">
        <v>2</v>
      </c>
      <c r="I19" s="62" t="s">
        <v>58</v>
      </c>
      <c r="J19" s="62" t="s">
        <v>75</v>
      </c>
      <c r="K19" s="62">
        <v>1</v>
      </c>
      <c r="L19" s="62">
        <v>2</v>
      </c>
      <c r="M19" s="62"/>
      <c r="N19" s="62" t="s">
        <v>75</v>
      </c>
      <c r="O19" s="62">
        <v>1</v>
      </c>
      <c r="P19" s="62">
        <v>2</v>
      </c>
      <c r="Q19" s="62"/>
      <c r="R19" s="60" t="str">
        <f>$B$19&amp;$C$19&amp;$E$19</f>
        <v>理科4年のまとめ知識・技能</v>
      </c>
      <c r="S19" s="60" t="str">
        <f>$B$19&amp;$C$19&amp;$I$19</f>
        <v>理科4年のまとめ思考・判断・表現</v>
      </c>
      <c r="T19" s="60" t="str">
        <f>$B$19&amp;$C$19&amp;$M$19</f>
        <v>理科4年のまとめ</v>
      </c>
    </row>
    <row r="20" spans="2:20" x14ac:dyDescent="0.4">
      <c r="B20" s="62" t="s">
        <v>60</v>
      </c>
      <c r="C20" s="62" t="s">
        <v>17</v>
      </c>
      <c r="D20" s="62"/>
      <c r="E20" s="62" t="s">
        <v>58</v>
      </c>
      <c r="F20" s="62" t="s">
        <v>75</v>
      </c>
      <c r="G20" s="62">
        <v>1</v>
      </c>
      <c r="H20" s="62">
        <v>2</v>
      </c>
      <c r="I20" s="62"/>
      <c r="J20" s="62" t="s">
        <v>75</v>
      </c>
      <c r="K20" s="62">
        <v>1</v>
      </c>
      <c r="L20" s="62">
        <v>2</v>
      </c>
      <c r="M20" s="62"/>
      <c r="N20" s="62" t="s">
        <v>75</v>
      </c>
      <c r="O20" s="62">
        <v>1</v>
      </c>
      <c r="P20" s="62">
        <v>2</v>
      </c>
      <c r="Q20" s="62"/>
      <c r="R20" s="60" t="str">
        <f>$B$20&amp;$C$20&amp;$E$20</f>
        <v>理科話すこと・聞くこと②思考・判断・表現</v>
      </c>
      <c r="S20" s="60" t="str">
        <f>$B$20&amp;$C$20&amp;$I$20</f>
        <v>理科話すこと・聞くこと②</v>
      </c>
      <c r="T20" s="60" t="str">
        <f>$B$20&amp;$C$20&amp;$M$20</f>
        <v>理科話すこと・聞くこと②</v>
      </c>
    </row>
    <row r="21" spans="2:20" ht="18.75" x14ac:dyDescent="0.4">
      <c r="B21"/>
      <c r="C21"/>
    </row>
    <row r="22" spans="2:20" ht="18.75" x14ac:dyDescent="0.4">
      <c r="B22"/>
      <c r="C22"/>
    </row>
    <row r="23" spans="2:20" ht="18.75" x14ac:dyDescent="0.4">
      <c r="B23"/>
      <c r="C23"/>
    </row>
    <row r="24" spans="2:20" ht="18.75" x14ac:dyDescent="0.4">
      <c r="B24"/>
      <c r="C24"/>
    </row>
    <row r="25" spans="2:20" ht="18.75" x14ac:dyDescent="0.4">
      <c r="B25"/>
      <c r="C25"/>
    </row>
    <row r="26" spans="2:20" ht="18.75" x14ac:dyDescent="0.4">
      <c r="B26"/>
      <c r="C26"/>
    </row>
    <row r="27" spans="2:20" ht="18.75" x14ac:dyDescent="0.4">
      <c r="B27"/>
      <c r="C27"/>
    </row>
    <row r="28" spans="2:20" ht="18.75" x14ac:dyDescent="0.4">
      <c r="B28"/>
      <c r="C28"/>
    </row>
    <row r="29" spans="2:20" ht="18.75" x14ac:dyDescent="0.4">
      <c r="B29"/>
      <c r="C29"/>
    </row>
    <row r="30" spans="2:20" ht="18.75" x14ac:dyDescent="0.4">
      <c r="B30"/>
      <c r="C30"/>
    </row>
    <row r="31" spans="2:20" ht="18.75" x14ac:dyDescent="0.4">
      <c r="B31"/>
      <c r="C31"/>
    </row>
    <row r="32" spans="2:20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  <row r="38" spans="2:3" ht="18.75" x14ac:dyDescent="0.4">
      <c r="B38"/>
      <c r="C38"/>
    </row>
    <row r="39" spans="2:3" ht="18.75" x14ac:dyDescent="0.4">
      <c r="B39"/>
      <c r="C39"/>
    </row>
    <row r="40" spans="2:3" ht="18.75" x14ac:dyDescent="0.4">
      <c r="B40"/>
      <c r="C40"/>
    </row>
    <row r="41" spans="2:3" ht="18.75" x14ac:dyDescent="0.4">
      <c r="B41"/>
      <c r="C41"/>
    </row>
    <row r="42" spans="2:3" ht="18.75" x14ac:dyDescent="0.4">
      <c r="B42"/>
      <c r="C42"/>
    </row>
    <row r="43" spans="2:3" ht="18.75" x14ac:dyDescent="0.4">
      <c r="B43"/>
      <c r="C43"/>
    </row>
    <row r="44" spans="2:3" ht="18.75" x14ac:dyDescent="0.4">
      <c r="B44"/>
      <c r="C44"/>
    </row>
    <row r="45" spans="2:3" ht="18.75" x14ac:dyDescent="0.4">
      <c r="B45"/>
      <c r="C45"/>
    </row>
    <row r="46" spans="2:3" ht="18.75" x14ac:dyDescent="0.4">
      <c r="B46"/>
      <c r="C46"/>
    </row>
    <row r="47" spans="2:3" ht="18.75" x14ac:dyDescent="0.4">
      <c r="B47"/>
      <c r="C47"/>
    </row>
    <row r="48" spans="2:3" ht="18.75" x14ac:dyDescent="0.4">
      <c r="B48"/>
      <c r="C48"/>
    </row>
    <row r="49" spans="2:3" ht="18.75" x14ac:dyDescent="0.4">
      <c r="B49"/>
      <c r="C49"/>
    </row>
  </sheetData>
  <autoFilter ref="B2:Q20" xr:uid="{658FB79A-00A6-4D0F-97A0-E3BB4E3A0961}"/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93A6F-B1FD-48DB-B89D-70296308C70D}">
  <sheetPr codeName="Sheet8"/>
  <dimension ref="A1:AF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2" x14ac:dyDescent="0.4">
      <c r="B1" s="33" t="s">
        <v>21</v>
      </c>
      <c r="C1" s="55" t="s">
        <v>23</v>
      </c>
      <c r="D1" s="56"/>
      <c r="E1" s="57"/>
      <c r="F1" s="26" t="s">
        <v>36</v>
      </c>
      <c r="G1" s="26"/>
      <c r="H1" s="26"/>
      <c r="I1" s="26"/>
      <c r="J1" s="26"/>
      <c r="K1" s="27"/>
      <c r="L1" s="26" t="s">
        <v>9</v>
      </c>
      <c r="M1" s="26"/>
      <c r="N1" s="26"/>
      <c r="O1" s="26"/>
      <c r="P1" s="26"/>
      <c r="Q1" s="26"/>
      <c r="R1" s="26"/>
      <c r="S1" s="26"/>
      <c r="T1" s="26"/>
      <c r="U1" s="27"/>
      <c r="V1" s="26" t="s">
        <v>40</v>
      </c>
      <c r="W1" s="26"/>
      <c r="X1" s="26"/>
      <c r="Y1" s="26"/>
      <c r="Z1" s="26"/>
      <c r="AA1" s="26"/>
      <c r="AB1" s="26"/>
      <c r="AC1" s="26"/>
      <c r="AD1" s="26"/>
      <c r="AE1" s="27"/>
      <c r="AF1" s="27"/>
    </row>
    <row r="2" spans="1:32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27</v>
      </c>
      <c r="H2" s="39" t="s">
        <v>42</v>
      </c>
      <c r="I2" s="43" t="s">
        <v>37</v>
      </c>
      <c r="J2" s="39" t="s">
        <v>38</v>
      </c>
      <c r="K2" s="39" t="s">
        <v>39</v>
      </c>
      <c r="L2" s="39" t="s">
        <v>32</v>
      </c>
      <c r="M2" s="39" t="s">
        <v>41</v>
      </c>
      <c r="N2" s="39" t="s">
        <v>31</v>
      </c>
      <c r="O2" s="39" t="s">
        <v>32</v>
      </c>
      <c r="P2" s="39" t="s">
        <v>31</v>
      </c>
      <c r="Q2" s="39" t="s">
        <v>27</v>
      </c>
      <c r="R2" s="39" t="s">
        <v>42</v>
      </c>
      <c r="S2" s="43" t="s">
        <v>37</v>
      </c>
      <c r="T2" s="39" t="s">
        <v>38</v>
      </c>
      <c r="U2" s="39" t="s">
        <v>39</v>
      </c>
      <c r="V2" s="39" t="s">
        <v>31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27</v>
      </c>
      <c r="AB2" s="39" t="s">
        <v>42</v>
      </c>
      <c r="AC2" s="43" t="s">
        <v>37</v>
      </c>
      <c r="AD2" s="39" t="s">
        <v>38</v>
      </c>
      <c r="AE2" s="39" t="s">
        <v>39</v>
      </c>
      <c r="AF2" s="52"/>
    </row>
    <row r="3" spans="1:32" x14ac:dyDescent="0.4">
      <c r="A3" s="58"/>
      <c r="B3" s="30" t="s">
        <v>51</v>
      </c>
      <c r="C3" s="35"/>
      <c r="D3" s="30"/>
      <c r="E3" s="30"/>
      <c r="F3" s="30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ｓ２</v>
      </c>
      <c r="G3" s="30" t="str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ｓ２</v>
      </c>
      <c r="H3" s="30" t="str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ｓ２</v>
      </c>
      <c r="I3" s="30"/>
      <c r="J3" s="30"/>
      <c r="K3" s="30"/>
      <c r="L3" s="30" t="str" cm="1">
        <f t="array" aca="1" ref="L3" ca="1">_xlfn.XLOOKUP(MID(CELL("filename",$A$1),FIND("]",CELL("filename",$A$1))+1,31)&amp;$L$2&amp;$L$1,採点基準_単元別!$R$3:$R$100000,採点基準_単元別!$F$3:$F$100000,_xlfn.XLOOKUP(MID(CELL("filename",$A$1),FIND("]",CELL("filename",$A$1))+1,31)&amp;$L$2&amp;$L$1,採点基準_単元別!$S$3:$S$100000,採点基準_単元別!$J$3:$J$100000,_xlfn.XLOOKUP(MID(CELL("filename",$A$1),FIND("]",CELL("filename",$A$1))+1,31)&amp;$L$2&amp;$L$1,採点基準_単元別!$T$3:$T$100000,採点基準_単元別!$N$3:$N$100000,"見つかりません")))</f>
        <v>ｓ２</v>
      </c>
      <c r="M3" s="30" t="str" cm="1">
        <f t="array" aca="1" ref="M3" ca="1">_xlfn.XLOOKUP(MID(CELL("filename",$A$1),FIND("]",CELL("filename",$A$1))+1,31)&amp;$M$2&amp;$L$1,採点基準_単元別!$R$3:$R$100000,採点基準_単元別!$F$3:$F$100000,_xlfn.XLOOKUP(MID(CELL("filename",$A$1),FIND("]",CELL("filename",$A$1))+1,31)&amp;$M$2&amp;$L$1,採点基準_単元別!$S$3:$S$100000,採点基準_単元別!$J$3:$J$100000,_xlfn.XLOOKUP(MID(CELL("filename",$A$1),FIND("]",CELL("filename",$A$1))+1,31)&amp;$M$2&amp;$L$1,採点基準_単元別!$T$3:$T$100000,採点基準_単元別!$N$3:$N$100000,"見つかりません")))</f>
        <v>ｓ２</v>
      </c>
      <c r="N3" s="30" t="str" cm="1">
        <f t="array" aca="1" ref="N3" ca="1">_xlfn.XLOOKUP(MID(CELL("filename",$A$1),FIND("]",CELL("filename",$A$1))+1,31)&amp;$N$2&amp;$L$1,採点基準_単元別!$R$3:$R$100000,採点基準_単元別!$F$3:$F$100000,_xlfn.XLOOKUP(MID(CELL("filename",$A$1),FIND("]",CELL("filename",$A$1))+1,31)&amp;$N$2&amp;$L$1,採点基準_単元別!$S$3:$S$100000,採点基準_単元別!$J$3:$J$100000,_xlfn.XLOOKUP(MID(CELL("filename",$A$1),FIND("]",CELL("filename",$A$1))+1,31)&amp;$N$2&amp;$L$1,採点基準_単元別!$T$3:$T$100000,採点基準_単元別!$N$3:$N$100000,"見つかりません")))</f>
        <v>ｓ２</v>
      </c>
      <c r="O3" s="30" t="str" cm="1">
        <f t="array" aca="1" ref="O3" ca="1">_xlfn.XLOOKUP(MID(CELL("filename",$A$1),FIND("]",CELL("filename",$A$1))+1,31)&amp;$O$2&amp;$L$1,採点基準_単元別!$R$3:$R$100000,採点基準_単元別!$F$3:$F$100000,_xlfn.XLOOKUP(MID(CELL("filename",$A$1),FIND("]",CELL("filename",$A$1))+1,31)&amp;$O$2&amp;$L$1,採点基準_単元別!$S$3:$S$100000,採点基準_単元別!$J$3:$J$100000,_xlfn.XLOOKUP(MID(CELL("filename",$A$1),FIND("]",CELL("filename",$A$1))+1,31)&amp;$O$2&amp;$L$1,採点基準_単元別!$T$3:$T$100000,採点基準_単元別!$N$3:$N$100000,"見つかりません")))</f>
        <v>ｓ２</v>
      </c>
      <c r="P3" s="30" t="str" cm="1">
        <f t="array" aca="1" ref="P3" ca="1">_xlfn.XLOOKUP(MID(CELL("filename",$A$1),FIND("]",CELL("filename",$A$1))+1,31)&amp;$P$2&amp;$L$1,採点基準_単元別!$R$3:$R$100000,採点基準_単元別!$F$3:$F$100000,_xlfn.XLOOKUP(MID(CELL("filename",$A$1),FIND("]",CELL("filename",$A$1))+1,31)&amp;$P$2&amp;$L$1,採点基準_単元別!$S$3:$S$100000,採点基準_単元別!$J$3:$J$100000,_xlfn.XLOOKUP(MID(CELL("filename",$A$1),FIND("]",CELL("filename",$A$1))+1,31)&amp;$P$2&amp;$L$1,採点基準_単元別!$T$3:$T$100000,採点基準_単元別!$N$3:$N$100000,"見つかりません")))</f>
        <v>ｓ２</v>
      </c>
      <c r="Q3" s="30" t="str" cm="1">
        <f t="array" aca="1" ref="Q3" ca="1">_xlfn.XLOOKUP(MID(CELL("filename",$A$1),FIND("]",CELL("filename",$A$1))+1,31)&amp;$Q$2&amp;$L$1,採点基準_単元別!$R$3:$R$100000,採点基準_単元別!$F$3:$F$100000,_xlfn.XLOOKUP(MID(CELL("filename",$A$1),FIND("]",CELL("filename",$A$1))+1,31)&amp;$Q$2&amp;$L$1,採点基準_単元別!$S$3:$S$100000,採点基準_単元別!$J$3:$J$100000,_xlfn.XLOOKUP(MID(CELL("filename",$A$1),FIND("]",CELL("filename",$A$1))+1,31)&amp;$Q$2&amp;$L$1,採点基準_単元別!$T$3:$T$100000,採点基準_単元別!$N$3:$N$100000,"見つかりません")))</f>
        <v>ｓ２</v>
      </c>
      <c r="R3" s="30" t="str" cm="1">
        <f t="array" aca="1" ref="R3" ca="1">_xlfn.XLOOKUP(MID(CELL("filename",$A$1),FIND("]",CELL("filename",$A$1))+1,31)&amp;$R$2&amp;$L$1,採点基準_単元別!$R$3:$R$100000,採点基準_単元別!$F$3:$F$100000,_xlfn.XLOOKUP(MID(CELL("filename",$A$1),FIND("]",CELL("filename",$A$1))+1,31)&amp;$R$2&amp;$L$1,採点基準_単元別!$S$3:$S$100000,採点基準_単元別!$J$3:$J$100000,_xlfn.XLOOKUP(MID(CELL("filename",$A$1),FIND("]",CELL("filename",$A$1))+1,31)&amp;$R$2&amp;$L$1,採点基準_単元別!$T$3:$T$100000,採点基準_単元別!$N$3:$N$100000,"見つかりません")))</f>
        <v>ｓ２</v>
      </c>
      <c r="S3" s="30"/>
      <c r="T3" s="30"/>
      <c r="U3" s="30"/>
      <c r="V3" s="30" t="str" cm="1">
        <f t="array" aca="1" ref="V3" ca="1">_xlfn.XLOOKUP(MID(CELL("filename",$A$1),FIND("]",CELL("filename",$A$1))+1,31)&amp;$V$2&amp;$V$1,採点基準_単元別!$R$3:$R$100000,採点基準_単元別!$F$3:$F$100000,_xlfn.XLOOKUP(MID(CELL("filename",$A$1),FIND("]",CELL("filename",$A$1))+1,31)&amp;$V$2&amp;$V$1,採点基準_単元別!$S$3:$S$100000,採点基準_単元別!$J$3:$J$100000,_xlfn.XLOOKUP(MID(CELL("filename",$A$1),FIND("]",CELL("filename",$A$1))+1,31)&amp;$V$2&amp;$V$1,採点基準_単元別!$T$3:$T$100000,採点基準_単元別!$N$3:$N$100000,"見つかりません")))</f>
        <v>見つかりません</v>
      </c>
      <c r="W3" s="30" t="str" cm="1">
        <f t="array" aca="1" ref="W3" ca="1">_xlfn.XLOOKUP(MID(CELL("filename",$A$1),FIND("]",CELL("filename",$A$1))+1,31)&amp;$W$2&amp;$V$1,採点基準_単元別!$R$3:$R$100000,採点基準_単元別!$F$3:$F$100000,_xlfn.XLOOKUP(MID(CELL("filename",$A$1),FIND("]",CELL("filename",$A$1))+1,31)&amp;$W$2&amp;$V$1,採点基準_単元別!$S$3:$S$100000,採点基準_単元別!$J$3:$J$100000,_xlfn.XLOOKUP(MID(CELL("filename",$A$1),FIND("]",CELL("filename",$A$1))+1,31)&amp;$W$2&amp;$V$1,採点基準_単元別!$T$3:$T$100000,採点基準_単元別!$N$3:$N$100000,"見つかりません")))</f>
        <v>見つかりません</v>
      </c>
      <c r="X3" s="30" t="str" cm="1">
        <f t="array" aca="1" ref="X3" ca="1">_xlfn.XLOOKUP(MID(CELL("filename",$A$1),FIND("]",CELL("filename",$A$1))+1,31)&amp;$X$2&amp;$V$1,採点基準_単元別!$R$3:$R$100000,採点基準_単元別!$F$3:$F$100000,_xlfn.XLOOKUP(MID(CELL("filename",$A$1),FIND("]",CELL("filename",$A$1))+1,31)&amp;$X$2&amp;$V$1,採点基準_単元別!$S$3:$S$100000,採点基準_単元別!$J$3:$J$100000,_xlfn.XLOOKUP(MID(CELL("filename",$A$1),FIND("]",CELL("filename",$A$1))+1,31)&amp;$X$2&amp;$V$1,採点基準_単元別!$T$3:$T$100000,採点基準_単元別!$N$3:$N$100000,"見つかりません")))</f>
        <v>見つかりません</v>
      </c>
      <c r="Y3" s="30" t="str" cm="1">
        <f t="array" aca="1" ref="Y3" ca="1">_xlfn.XLOOKUP(MID(CELL("filename",$A$1),FIND("]",CELL("filename",$A$1))+1,31)&amp;$Y$2&amp;$V$1,採点基準_単元別!$R$3:$R$100000,採点基準_単元別!$F$3:$F$100000,_xlfn.XLOOKUP(MID(CELL("filename",$A$1),FIND("]",CELL("filename",$A$1))+1,31)&amp;$Y$2&amp;$V$1,採点基準_単元別!$S$3:$S$100000,採点基準_単元別!$J$3:$J$100000,_xlfn.XLOOKUP(MID(CELL("filename",$A$1),FIND("]",CELL("filename",$A$1))+1,31)&amp;$Y$2&amp;$V$1,採点基準_単元別!$T$3:$T$100000,採点基準_単元別!$N$3:$N$100000,"見つかりません")))</f>
        <v>見つかりません</v>
      </c>
      <c r="Z3" s="30" t="str" cm="1">
        <f t="array" aca="1" ref="Z3" ca="1">_xlfn.XLOOKUP(MID(CELL("filename",$A$1),FIND("]",CELL("filename",$A$1))+1,31)&amp;$Z$2&amp;$V$1,採点基準_単元別!$R$3:$R$100000,採点基準_単元別!$F$3:$F$100000,_xlfn.XLOOKUP(MID(CELL("filename",$A$1),FIND("]",CELL("filename",$A$1))+1,31)&amp;$Z$2&amp;$V$1,採点基準_単元別!$S$3:$S$100000,採点基準_単元別!$J$3:$J$100000,_xlfn.XLOOKUP(MID(CELL("filename",$A$1),FIND("]",CELL("filename",$A$1))+1,31)&amp;$Z$2&amp;$V$1,採点基準_単元別!$T$3:$T$100000,採点基準_単元別!$N$3:$N$100000,"見つかりません")))</f>
        <v>見つかりません</v>
      </c>
      <c r="AA3" s="30" t="str" cm="1">
        <f t="array" aca="1" ref="AA3" ca="1">_xlfn.XLOOKUP(MID(CELL("filename",$A$1),FIND("]",CELL("filename",$A$1))+1,31)&amp;$AA$2&amp;$V$1,採点基準_単元別!$R$3:$R$100000,採点基準_単元別!$F$3:$F$100000,_xlfn.XLOOKUP(MID(CELL("filename",$A$1),FIND("]",CELL("filename",$A$1))+1,31)&amp;$AA$2&amp;$V$1,採点基準_単元別!$S$3:$S$100000,採点基準_単元別!$J$3:$J$100000,_xlfn.XLOOKUP(MID(CELL("filename",$A$1),FIND("]",CELL("filename",$A$1))+1,31)&amp;$AA$2&amp;$V$1,採点基準_単元別!$T$3:$T$100000,採点基準_単元別!$N$3:$N$100000,"見つかりません")))</f>
        <v>見つかりません</v>
      </c>
      <c r="AB3" s="30" t="str" cm="1">
        <f t="array" aca="1" ref="AB3" ca="1">_xlfn.XLOOKUP(MID(CELL("filename",$A$1),FIND("]",CELL("filename",$A$1))+1,31)&amp;$AB$2&amp;$V$1,採点基準_単元別!$R$3:$R$100000,採点基準_単元別!$F$3:$F$100000,_xlfn.XLOOKUP(MID(CELL("filename",$A$1),FIND("]",CELL("filename",$A$1))+1,31)&amp;$AB$2&amp;$V$1,採点基準_単元別!$S$3:$S$100000,採点基準_単元別!$J$3:$J$100000,_xlfn.XLOOKUP(MID(CELL("filename",$A$1),FIND("]",CELL("filename",$A$1))+1,31)&amp;$AB$2&amp;$V$1,採点基準_単元別!$T$3:$T$100000,採点基準_単元別!$N$3:$N$100000,"見つかりません")))</f>
        <v>見つかりません</v>
      </c>
      <c r="AC3" s="30"/>
      <c r="AD3" s="30"/>
      <c r="AE3" s="30"/>
      <c r="AF3" s="35"/>
    </row>
    <row r="4" spans="1:32" x14ac:dyDescent="0.4">
      <c r="A4" s="58"/>
      <c r="B4" s="53" t="s">
        <v>52</v>
      </c>
      <c r="C4" s="54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4"/>
    </row>
    <row r="5" spans="1:32" x14ac:dyDescent="0.4">
      <c r="A5" s="42">
        <v>1</v>
      </c>
      <c r="B5" s="42" t="s">
        <v>2</v>
      </c>
      <c r="C5" s="42"/>
      <c r="D5" s="42"/>
      <c r="E5" s="42"/>
      <c r="F5" s="42">
        <v>85</v>
      </c>
      <c r="G5" s="42">
        <v>100</v>
      </c>
      <c r="H5" s="42"/>
      <c r="I5" s="42" t="str">
        <f>IF(COUNTBLANK(F5:H5)=0,SUM(F5:H5),"未入力")</f>
        <v>未入力</v>
      </c>
      <c r="J5" s="42" t="str">
        <f ca="1">IFERROR(ROUNDDOWN(I5/ (IF(F5= "",0,$F$3)+IF(G5= "",0,$G$3)+IF(H5= "",0,$H$3))*100,0),"")</f>
        <v/>
      </c>
      <c r="K5" s="42" t="str" cm="1">
        <f t="array" aca="1" ref="K5" ca="1">IF(J5 = "","",IF(J5&gt;=INDEX(採点基準_観点別!$C$3:$C$1000,_xlfn.XMATCH(MID(CELL("filename",$A$1),FIND("]",CELL("filename",$A$1))+1,31)&amp;$F$1,採点基準_観点別!$F$3:$F$1000)),"A",IF(J5&gt;=INDEX(採点基準_観点別!$D$3:$D$1000,_xlfn.XMATCH(MID(CELL("filename",$A$1),FIND("]",CELL("filename",$A$1))+1,31)&amp;$F$1,採点基準_観点別!$F$3:$F$1000)),"B",IF(J5&lt;=INDEX(採点基準_観点別!$E$3:$E$1000,_xlfn.XMATCH(MID(CELL("filename",$A$1),FIND("]",CELL("filename",$A$1))+1,31)&amp;$F$1,採点基準_観点別!$F$3:$F$1000)),"C","採点基準が不正です"))))</f>
        <v/>
      </c>
      <c r="L5" s="42"/>
      <c r="M5" s="42"/>
      <c r="N5" s="42"/>
      <c r="O5" s="42"/>
      <c r="P5" s="42"/>
      <c r="Q5" s="42"/>
      <c r="R5" s="42"/>
      <c r="S5" s="42" t="str">
        <f>IF(COUNTBLANK(L5:R5)=0,SUM(L5:R5),"未入力")</f>
        <v>未入力</v>
      </c>
      <c r="T5" s="42" t="str">
        <f>IFERROR(ROUNDDOWN(S5/ (IF(L5= "",0,$L$3)+IF(M5= "",0,$M$3)+IF(N5= "",0,$N$3)+IF(O5= "",0,$O$3)+IF(P5= "",0,$P$3)+IF(Q5= "",0,$Q$3)+IF(R5= "",0,$R$3))*100,0),"")</f>
        <v/>
      </c>
      <c r="U5" s="42" t="str" cm="1">
        <f t="array" aca="1" ref="U5" ca="1">IF(T5 = "","",IF(T5&gt;=INDEX(採点基準_観点別!$C$3:$C$1000,_xlfn.XMATCH(MID(CELL("filename",$A$1),FIND("]",CELL("filename",$A$1))+1,31)&amp;$F$1,採点基準_観点別!$F$3:$F$1000)),"A",IF(T5&gt;=INDEX(採点基準_観点別!$D$3:$D$1000,_xlfn.XMATCH(MID(CELL("filename",$A$1),FIND("]",CELL("filename",$A$1))+1,31)&amp;$F$1,採点基準_観点別!$F$3:$F$1000)),"B",IF(T5&lt;=INDEX(採点基準_観点別!$E$3:$E$1000,_xlfn.XMATCH(MID(CELL("filename",$A$1),FIND("]",CELL("filename",$A$1))+1,31)&amp;$F$1,採点基準_観点別!$F$3:$F$1000)),"C","採点基準が不正です"))))</f>
        <v/>
      </c>
      <c r="V5" s="42"/>
      <c r="W5" s="42"/>
      <c r="X5" s="42"/>
      <c r="Y5" s="42"/>
      <c r="Z5" s="42"/>
      <c r="AA5" s="42"/>
      <c r="AB5" s="42"/>
      <c r="AC5" s="42" t="str">
        <f>IF(COUNTBLANK(V5:AB5)=0,SUM(V5:AB5),"未入力")</f>
        <v>未入力</v>
      </c>
      <c r="AD5" s="42" t="str">
        <f>IFERROR(ROUNDDOWN(AC5/ (IF(V5= "",0,$V$3)+IF(W5= "",0,$W$3)+IF(X5= "",0,$X$3)+IF(Y5= "",0,$Y$3)+IF(Z5= "",0,$Z$3)+IF(AA5= "",0,$AA$3)+IF(AB5= "",0,$AB$3))*100,0),"")</f>
        <v/>
      </c>
      <c r="AE5" s="42" t="str" cm="1">
        <f t="array" aca="1" ref="AE5" ca="1">IF(AD5 = "","",IF(AD5&gt;=INDEX(採点基準_観点別!$C$3:$C$1000,_xlfn.XMATCH(MID(CELL("filename",$A$1),FIND("]",CELL("filename",$A$1))+1,31)&amp;$F$1,採点基準_観点別!$F$3:$F$1000)),"A",IF(AD5&gt;=INDEX(採点基準_観点別!$D$3:$D$1000,_xlfn.XMATCH(MID(CELL("filename",$A$1),FIND("]",CELL("filename",$A$1))+1,31)&amp;$F$1,採点基準_観点別!$F$3:$F$1000)),"B",IF(AD5&lt;=INDEX(採点基準_観点別!$E$3:$E$1000,_xlfn.XMATCH(MID(CELL("filename",$A$1),FIND("]",CELL("filename",$A$1))+1,31)&amp;$F$1,採点基準_観点別!$F$3:$F$1000)),"C","採点基準が不正です"))))</f>
        <v/>
      </c>
      <c r="AF5" s="51"/>
    </row>
    <row r="6" spans="1:32" x14ac:dyDescent="0.4">
      <c r="A6" s="62">
        <v>2</v>
      </c>
      <c r="B6" s="62" t="s">
        <v>2</v>
      </c>
      <c r="C6" s="31"/>
      <c r="D6" s="31"/>
      <c r="E6" s="31"/>
      <c r="F6" s="31"/>
      <c r="G6" s="31"/>
      <c r="H6" s="31"/>
      <c r="I6" s="31" t="str">
        <f t="shared" ref="I6:I37" si="0">IF(COUNTBLANK(F6:H6)=0,SUM(F6:H6),"未入力")</f>
        <v>未入力</v>
      </c>
      <c r="J6" s="42" t="str">
        <f t="shared" ref="J6:J37" si="1">IFERROR(ROUNDDOWN(I6/ (IF(F6= "",0,$F$3)+IF(G6= "",0,$G$3)+IF(H6= "",0,$H$3))*100,0),"")</f>
        <v/>
      </c>
      <c r="K6" s="31" t="str" cm="1">
        <f t="array" aca="1" ref="K6" ca="1">IF(J6 = "","",IF(J6&gt;=INDEX(採点基準_観点別!$C$3:$C$1000,_xlfn.XMATCH(MID(CELL("filename",$A$1),FIND("]",CELL("filename",$A$1))+1,31)&amp;$F$1,採点基準_観点別!$F$3:$F$1000)),"A",IF(J6&gt;=INDEX(採点基準_観点別!$D$3:$D$1000,_xlfn.XMATCH(MID(CELL("filename",$A$1),FIND("]",CELL("filename",$A$1))+1,31)&amp;$F$1,採点基準_観点別!$F$3:$F$1000)),"B",IF(J6&lt;=INDEX(採点基準_観点別!$E$3:$E$1000,_xlfn.XMATCH(MID(CELL("filename",$A$1),FIND("]",CELL("filename",$A$1))+1,31)&amp;$F$1,採点基準_観点別!$F$3:$F$1000)),"C","採点基準が不正です"))))</f>
        <v/>
      </c>
      <c r="L6" s="31"/>
      <c r="M6" s="31"/>
      <c r="N6" s="31"/>
      <c r="O6" s="31"/>
      <c r="P6" s="31"/>
      <c r="Q6" s="31"/>
      <c r="R6" s="31"/>
      <c r="S6" s="31" t="str">
        <f t="shared" ref="S6:S37" si="2">IF(COUNTBLANK(L6:R6)=0,SUM(L6:R6),"未入力")</f>
        <v>未入力</v>
      </c>
      <c r="T6" s="31" t="str">
        <f t="shared" ref="T6:T37" si="3">IFERROR(ROUNDDOWN(S6/ (IF(L6= "",0,$L$3)+IF(M6= "",0,$M$3)+IF(N6= "",0,$N$3)+IF(O6= "",0,$O$3)+IF(P6= "",0,$P$3)+IF(Q6= "",0,$Q$3)+IF(R6= "",0,$R$3))*100,0),"")</f>
        <v/>
      </c>
      <c r="U6" s="31" t="str" cm="1">
        <f t="array" aca="1" ref="U6" ca="1">IF(T6 = "","",IF(T6&gt;=INDEX(採点基準_観点別!$C$3:$C$1000,_xlfn.XMATCH(MID(CELL("filename",$A$1),FIND("]",CELL("filename",$A$1))+1,31)&amp;$F$1,採点基準_観点別!$F$3:$F$1000)),"A",IF(T6&gt;=INDEX(採点基準_観点別!$D$3:$D$1000,_xlfn.XMATCH(MID(CELL("filename",$A$1),FIND("]",CELL("filename",$A$1))+1,31)&amp;$F$1,採点基準_観点別!$F$3:$F$1000)),"B",IF(T6&lt;=INDEX(採点基準_観点別!$E$3:$E$1000,_xlfn.XMATCH(MID(CELL("filename",$A$1),FIND("]",CELL("filename",$A$1))+1,31)&amp;$F$1,採点基準_観点別!$F$3:$F$1000)),"C","採点基準が不正です"))))</f>
        <v/>
      </c>
      <c r="V6" s="31"/>
      <c r="W6" s="31"/>
      <c r="X6" s="31"/>
      <c r="Y6" s="31"/>
      <c r="Z6" s="31"/>
      <c r="AA6" s="31"/>
      <c r="AB6" s="31"/>
      <c r="AC6" s="31" t="str">
        <f t="shared" ref="AC6:AC37" si="4">IF(COUNTBLANK(V6:AB6)=0,SUM(V6:AB6),"未入力")</f>
        <v>未入力</v>
      </c>
      <c r="AD6" s="31" t="str">
        <f t="shared" ref="AD6:AD37" si="5">IFERROR(ROUNDDOWN(AC6/ (IF(V6= "",0,$V$3)+IF(W6= "",0,$W$3)+IF(X6= "",0,$X$3)+IF(Y6= "",0,$Y$3)+IF(Z6= "",0,$Z$3)+IF(AA6= "",0,$AA$3)+IF(AB6= "",0,$AB$3))*100,0),"")</f>
        <v/>
      </c>
      <c r="AE6" s="31" t="str" cm="1">
        <f t="array" aca="1" ref="AE6" ca="1">IF(AD6 = "","",IF(AD6&gt;=INDEX(採点基準_観点別!$C$3:$C$1000,_xlfn.XMATCH(MID(CELL("filename",$A$1),FIND("]",CELL("filename",$A$1))+1,31)&amp;$F$1,採点基準_観点別!$F$3:$F$1000)),"A",IF(AD6&gt;=INDEX(採点基準_観点別!$D$3:$D$1000,_xlfn.XMATCH(MID(CELL("filename",$A$1),FIND("]",CELL("filename",$A$1))+1,31)&amp;$F$1,採点基準_観点別!$F$3:$F$1000)),"B",IF(AD6&lt;=INDEX(採点基準_観点別!$E$3:$E$1000,_xlfn.XMATCH(MID(CELL("filename",$A$1),FIND("]",CELL("filename",$A$1))+1,31)&amp;$F$1,採点基準_観点別!$F$3:$F$1000)),"C","採点基準が不正です"))))</f>
        <v/>
      </c>
      <c r="AF6" s="50"/>
    </row>
    <row r="7" spans="1:32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 t="str">
        <f t="shared" si="0"/>
        <v>未入力</v>
      </c>
      <c r="J7" s="42" t="str">
        <f t="shared" si="1"/>
        <v/>
      </c>
      <c r="K7" s="42" t="str" cm="1">
        <f t="array" aca="1" ref="K7" ca="1">IF(J7 = "","",IF(J7&gt;=INDEX(採点基準_観点別!$C$3:$C$1000,_xlfn.XMATCH(MID(CELL("filename",$A$1),FIND("]",CELL("filename",$A$1))+1,31)&amp;$F$1,採点基準_観点別!$F$3:$F$1000)),"A",IF(J7&gt;=INDEX(採点基準_観点別!$D$3:$D$1000,_xlfn.XMATCH(MID(CELL("filename",$A$1),FIND("]",CELL("filename",$A$1))+1,31)&amp;$F$1,採点基準_観点別!$F$3:$F$1000)),"B",IF(J7&lt;=INDEX(採点基準_観点別!$E$3:$E$1000,_xlfn.XMATCH(MID(CELL("filename",$A$1),FIND("]",CELL("filename",$A$1))+1,31)&amp;$F$1,採点基準_観点別!$F$3:$F$1000)),"C","採点基準が不正です"))))</f>
        <v/>
      </c>
      <c r="L7" s="42"/>
      <c r="M7" s="42"/>
      <c r="N7" s="42"/>
      <c r="O7" s="42"/>
      <c r="P7" s="42"/>
      <c r="Q7" s="42"/>
      <c r="R7" s="42"/>
      <c r="S7" s="42" t="str">
        <f t="shared" si="2"/>
        <v>未入力</v>
      </c>
      <c r="T7" s="42" t="str">
        <f t="shared" si="3"/>
        <v/>
      </c>
      <c r="U7" s="42" t="str" cm="1">
        <f t="array" aca="1" ref="U7" ca="1">IF(T7 = "","",IF(T7&gt;=INDEX(採点基準_観点別!$C$3:$C$1000,_xlfn.XMATCH(MID(CELL("filename",$A$1),FIND("]",CELL("filename",$A$1))+1,31)&amp;$F$1,採点基準_観点別!$F$3:$F$1000)),"A",IF(T7&gt;=INDEX(採点基準_観点別!$D$3:$D$1000,_xlfn.XMATCH(MID(CELL("filename",$A$1),FIND("]",CELL("filename",$A$1))+1,31)&amp;$F$1,採点基準_観点別!$F$3:$F$1000)),"B",IF(T7&lt;=INDEX(採点基準_観点別!$E$3:$E$1000,_xlfn.XMATCH(MID(CELL("filename",$A$1),FIND("]",CELL("filename",$A$1))+1,31)&amp;$F$1,採点基準_観点別!$F$3:$F$1000)),"C","採点基準が不正です"))))</f>
        <v/>
      </c>
      <c r="V7" s="42"/>
      <c r="W7" s="42"/>
      <c r="X7" s="42"/>
      <c r="Y7" s="42"/>
      <c r="Z7" s="42"/>
      <c r="AA7" s="42"/>
      <c r="AB7" s="42"/>
      <c r="AC7" s="42" t="str">
        <f t="shared" si="4"/>
        <v>未入力</v>
      </c>
      <c r="AD7" s="42" t="str">
        <f t="shared" si="5"/>
        <v/>
      </c>
      <c r="AE7" s="42" t="str" cm="1">
        <f t="array" aca="1" ref="AE7" ca="1">IF(AD7 = "","",IF(AD7&gt;=INDEX(採点基準_観点別!$C$3:$C$1000,_xlfn.XMATCH(MID(CELL("filename",$A$1),FIND("]",CELL("filename",$A$1))+1,31)&amp;$F$1,採点基準_観点別!$F$3:$F$1000)),"A",IF(AD7&gt;=INDEX(採点基準_観点別!$D$3:$D$1000,_xlfn.XMATCH(MID(CELL("filename",$A$1),FIND("]",CELL("filename",$A$1))+1,31)&amp;$F$1,採点基準_観点別!$F$3:$F$1000)),"B",IF(AD7&lt;=INDEX(採点基準_観点別!$E$3:$E$1000,_xlfn.XMATCH(MID(CELL("filename",$A$1),FIND("]",CELL("filename",$A$1))+1,31)&amp;$F$1,採点基準_観点別!$F$3:$F$1000)),"C","採点基準が不正です"))))</f>
        <v/>
      </c>
      <c r="AF7" s="51"/>
    </row>
    <row r="8" spans="1:32" x14ac:dyDescent="0.4">
      <c r="A8" s="62">
        <v>4</v>
      </c>
      <c r="B8" s="62" t="s">
        <v>2</v>
      </c>
      <c r="C8" s="31"/>
      <c r="D8" s="31"/>
      <c r="E8" s="31"/>
      <c r="F8" s="31"/>
      <c r="G8" s="31"/>
      <c r="H8" s="31"/>
      <c r="I8" s="31" t="str">
        <f t="shared" si="0"/>
        <v>未入力</v>
      </c>
      <c r="J8" s="31" t="str">
        <f t="shared" si="1"/>
        <v/>
      </c>
      <c r="K8" s="31" t="str" cm="1">
        <f t="array" aca="1" ref="K8" ca="1">IF(J8 = "","",IF(J8&gt;=INDEX(採点基準_観点別!$C$3:$C$1000,_xlfn.XMATCH(MID(CELL("filename",$A$1),FIND("]",CELL("filename",$A$1))+1,31)&amp;$F$1,採点基準_観点別!$F$3:$F$1000)),"A",IF(J8&gt;=INDEX(採点基準_観点別!$D$3:$D$1000,_xlfn.XMATCH(MID(CELL("filename",$A$1),FIND("]",CELL("filename",$A$1))+1,31)&amp;$F$1,採点基準_観点別!$F$3:$F$1000)),"B",IF(J8&lt;=INDEX(採点基準_観点別!$E$3:$E$1000,_xlfn.XMATCH(MID(CELL("filename",$A$1),FIND("]",CELL("filename",$A$1))+1,31)&amp;$F$1,採点基準_観点別!$F$3:$F$1000)),"C","採点基準が不正です"))))</f>
        <v/>
      </c>
      <c r="L8" s="31"/>
      <c r="M8" s="31"/>
      <c r="N8" s="31"/>
      <c r="O8" s="31"/>
      <c r="P8" s="31"/>
      <c r="Q8" s="31"/>
      <c r="R8" s="31"/>
      <c r="S8" s="31" t="str">
        <f t="shared" si="2"/>
        <v>未入力</v>
      </c>
      <c r="T8" s="31" t="str">
        <f t="shared" si="3"/>
        <v/>
      </c>
      <c r="U8" s="31" t="str" cm="1">
        <f t="array" aca="1" ref="U8" ca="1">IF(T8 = "","",IF(T8&gt;=INDEX(採点基準_観点別!$C$3:$C$1000,_xlfn.XMATCH(MID(CELL("filename",$A$1),FIND("]",CELL("filename",$A$1))+1,31)&amp;$F$1,採点基準_観点別!$F$3:$F$1000)),"A",IF(T8&gt;=INDEX(採点基準_観点別!$D$3:$D$1000,_xlfn.XMATCH(MID(CELL("filename",$A$1),FIND("]",CELL("filename",$A$1))+1,31)&amp;$F$1,採点基準_観点別!$F$3:$F$1000)),"B",IF(T8&lt;=INDEX(採点基準_観点別!$E$3:$E$1000,_xlfn.XMATCH(MID(CELL("filename",$A$1),FIND("]",CELL("filename",$A$1))+1,31)&amp;$F$1,採点基準_観点別!$F$3:$F$1000)),"C","採点基準が不正です"))))</f>
        <v/>
      </c>
      <c r="V8" s="31"/>
      <c r="W8" s="31"/>
      <c r="X8" s="31"/>
      <c r="Y8" s="31"/>
      <c r="Z8" s="31"/>
      <c r="AA8" s="31"/>
      <c r="AB8" s="31"/>
      <c r="AC8" s="31" t="str">
        <f t="shared" si="4"/>
        <v>未入力</v>
      </c>
      <c r="AD8" s="31" t="str">
        <f t="shared" si="5"/>
        <v/>
      </c>
      <c r="AE8" s="31" t="str" cm="1">
        <f t="array" aca="1" ref="AE8" ca="1">IF(AD8 = "","",IF(AD8&gt;=INDEX(採点基準_観点別!$C$3:$C$1000,_xlfn.XMATCH(MID(CELL("filename",$A$1),FIND("]",CELL("filename",$A$1))+1,31)&amp;$F$1,採点基準_観点別!$F$3:$F$1000)),"A",IF(AD8&gt;=INDEX(採点基準_観点別!$D$3:$D$1000,_xlfn.XMATCH(MID(CELL("filename",$A$1),FIND("]",CELL("filename",$A$1))+1,31)&amp;$F$1,採点基準_観点別!$F$3:$F$1000)),"B",IF(AD8&lt;=INDEX(採点基準_観点別!$E$3:$E$1000,_xlfn.XMATCH(MID(CELL("filename",$A$1),FIND("]",CELL("filename",$A$1))+1,31)&amp;$F$1,採点基準_観点別!$F$3:$F$1000)),"C","採点基準が不正です"))))</f>
        <v/>
      </c>
      <c r="AF8" s="50"/>
    </row>
    <row r="9" spans="1:32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 t="str">
        <f t="shared" si="0"/>
        <v>未入力</v>
      </c>
      <c r="J9" s="42" t="str">
        <f t="shared" si="1"/>
        <v/>
      </c>
      <c r="K9" s="42" t="str" cm="1">
        <f t="array" aca="1" ref="K9" ca="1">IF(J9 = "","",IF(J9&gt;=INDEX(採点基準_観点別!$C$3:$C$1000,_xlfn.XMATCH(MID(CELL("filename",$A$1),FIND("]",CELL("filename",$A$1))+1,31)&amp;$F$1,採点基準_観点別!$F$3:$F$1000)),"A",IF(J9&gt;=INDEX(採点基準_観点別!$D$3:$D$1000,_xlfn.XMATCH(MID(CELL("filename",$A$1),FIND("]",CELL("filename",$A$1))+1,31)&amp;$F$1,採点基準_観点別!$F$3:$F$1000)),"B",IF(J9&lt;=INDEX(採点基準_観点別!$E$3:$E$1000,_xlfn.XMATCH(MID(CELL("filename",$A$1),FIND("]",CELL("filename",$A$1))+1,31)&amp;$F$1,採点基準_観点別!$F$3:$F$1000)),"C","採点基準が不正です"))))</f>
        <v/>
      </c>
      <c r="L9" s="42"/>
      <c r="M9" s="42"/>
      <c r="N9" s="42"/>
      <c r="O9" s="42"/>
      <c r="P9" s="42"/>
      <c r="Q9" s="42"/>
      <c r="R9" s="42"/>
      <c r="S9" s="42" t="str">
        <f t="shared" si="2"/>
        <v>未入力</v>
      </c>
      <c r="T9" s="42" t="str">
        <f t="shared" si="3"/>
        <v/>
      </c>
      <c r="U9" s="42" t="str" cm="1">
        <f t="array" aca="1" ref="U9" ca="1">IF(T9 = "","",IF(T9&gt;=INDEX(採点基準_観点別!$C$3:$C$1000,_xlfn.XMATCH(MID(CELL("filename",$A$1),FIND("]",CELL("filename",$A$1))+1,31)&amp;$F$1,採点基準_観点別!$F$3:$F$1000)),"A",IF(T9&gt;=INDEX(採点基準_観点別!$D$3:$D$1000,_xlfn.XMATCH(MID(CELL("filename",$A$1),FIND("]",CELL("filename",$A$1))+1,31)&amp;$F$1,採点基準_観点別!$F$3:$F$1000)),"B",IF(T9&lt;=INDEX(採点基準_観点別!$E$3:$E$1000,_xlfn.XMATCH(MID(CELL("filename",$A$1),FIND("]",CELL("filename",$A$1))+1,31)&amp;$F$1,採点基準_観点別!$F$3:$F$1000)),"C","採点基準が不正です"))))</f>
        <v/>
      </c>
      <c r="V9" s="42"/>
      <c r="W9" s="42"/>
      <c r="X9" s="42"/>
      <c r="Y9" s="42"/>
      <c r="Z9" s="42"/>
      <c r="AA9" s="42"/>
      <c r="AB9" s="42"/>
      <c r="AC9" s="42" t="str">
        <f t="shared" si="4"/>
        <v>未入力</v>
      </c>
      <c r="AD9" s="42" t="str">
        <f t="shared" si="5"/>
        <v/>
      </c>
      <c r="AE9" s="42" t="str" cm="1">
        <f t="array" aca="1" ref="AE9" ca="1">IF(AD9 = "","",IF(AD9&gt;=INDEX(採点基準_観点別!$C$3:$C$1000,_xlfn.XMATCH(MID(CELL("filename",$A$1),FIND("]",CELL("filename",$A$1))+1,31)&amp;$F$1,採点基準_観点別!$F$3:$F$1000)),"A",IF(AD9&gt;=INDEX(採点基準_観点別!$D$3:$D$1000,_xlfn.XMATCH(MID(CELL("filename",$A$1),FIND("]",CELL("filename",$A$1))+1,31)&amp;$F$1,採点基準_観点別!$F$3:$F$1000)),"B",IF(AD9&lt;=INDEX(採点基準_観点別!$E$3:$E$1000,_xlfn.XMATCH(MID(CELL("filename",$A$1),FIND("]",CELL("filename",$A$1))+1,31)&amp;$F$1,採点基準_観点別!$F$3:$F$1000)),"C","採点基準が不正です"))))</f>
        <v/>
      </c>
      <c r="AF9" s="51"/>
    </row>
    <row r="10" spans="1:32" x14ac:dyDescent="0.4">
      <c r="A10" s="62">
        <v>6</v>
      </c>
      <c r="B10" s="62" t="s">
        <v>2</v>
      </c>
      <c r="C10" s="31"/>
      <c r="D10" s="31"/>
      <c r="E10" s="31"/>
      <c r="F10" s="31"/>
      <c r="G10" s="31"/>
      <c r="H10" s="31"/>
      <c r="I10" s="31" t="str">
        <f t="shared" si="0"/>
        <v>未入力</v>
      </c>
      <c r="J10" s="31" t="str">
        <f t="shared" si="1"/>
        <v/>
      </c>
      <c r="K10" s="31" t="str" cm="1">
        <f t="array" aca="1" ref="K10" ca="1">IF(J10 = "","",IF(J10&gt;=INDEX(採点基準_観点別!$C$3:$C$1000,_xlfn.XMATCH(MID(CELL("filename",$A$1),FIND("]",CELL("filename",$A$1))+1,31)&amp;$F$1,採点基準_観点別!$F$3:$F$1000)),"A",IF(J10&gt;=INDEX(採点基準_観点別!$D$3:$D$1000,_xlfn.XMATCH(MID(CELL("filename",$A$1),FIND("]",CELL("filename",$A$1))+1,31)&amp;$F$1,採点基準_観点別!$F$3:$F$1000)),"B",IF(J10&lt;=INDEX(採点基準_観点別!$E$3:$E$1000,_xlfn.XMATCH(MID(CELL("filename",$A$1),FIND("]",CELL("filename",$A$1))+1,31)&amp;$F$1,採点基準_観点別!$F$3:$F$1000)),"C","採点基準が不正です"))))</f>
        <v/>
      </c>
      <c r="L10" s="31"/>
      <c r="M10" s="31"/>
      <c r="N10" s="31"/>
      <c r="O10" s="31"/>
      <c r="P10" s="31"/>
      <c r="Q10" s="31"/>
      <c r="R10" s="31"/>
      <c r="S10" s="31" t="str">
        <f t="shared" si="2"/>
        <v>未入力</v>
      </c>
      <c r="T10" s="31" t="str">
        <f t="shared" si="3"/>
        <v/>
      </c>
      <c r="U10" s="31" t="str" cm="1">
        <f t="array" aca="1" ref="U10" ca="1">IF(T10 = "","",IF(T10&gt;=INDEX(採点基準_観点別!$C$3:$C$1000,_xlfn.XMATCH(MID(CELL("filename",$A$1),FIND("]",CELL("filename",$A$1))+1,31)&amp;$F$1,採点基準_観点別!$F$3:$F$1000)),"A",IF(T10&gt;=INDEX(採点基準_観点別!$D$3:$D$1000,_xlfn.XMATCH(MID(CELL("filename",$A$1),FIND("]",CELL("filename",$A$1))+1,31)&amp;$F$1,採点基準_観点別!$F$3:$F$1000)),"B",IF(T10&lt;=INDEX(採点基準_観点別!$E$3:$E$1000,_xlfn.XMATCH(MID(CELL("filename",$A$1),FIND("]",CELL("filename",$A$1))+1,31)&amp;$F$1,採点基準_観点別!$F$3:$F$1000)),"C","採点基準が不正です"))))</f>
        <v/>
      </c>
      <c r="V10" s="31"/>
      <c r="W10" s="31"/>
      <c r="X10" s="31"/>
      <c r="Y10" s="31"/>
      <c r="Z10" s="31"/>
      <c r="AA10" s="31"/>
      <c r="AB10" s="31"/>
      <c r="AC10" s="31" t="str">
        <f t="shared" si="4"/>
        <v>未入力</v>
      </c>
      <c r="AD10" s="31" t="str">
        <f t="shared" si="5"/>
        <v/>
      </c>
      <c r="AE10" s="31" t="str" cm="1">
        <f t="array" aca="1" ref="AE10" ca="1">IF(AD10 = "","",IF(AD10&gt;=INDEX(採点基準_観点別!$C$3:$C$1000,_xlfn.XMATCH(MID(CELL("filename",$A$1),FIND("]",CELL("filename",$A$1))+1,31)&amp;$F$1,採点基準_観点別!$F$3:$F$1000)),"A",IF(AD10&gt;=INDEX(採点基準_観点別!$D$3:$D$1000,_xlfn.XMATCH(MID(CELL("filename",$A$1),FIND("]",CELL("filename",$A$1))+1,31)&amp;$F$1,採点基準_観点別!$F$3:$F$1000)),"B",IF(AD10&lt;=INDEX(採点基準_観点別!$E$3:$E$1000,_xlfn.XMATCH(MID(CELL("filename",$A$1),FIND("]",CELL("filename",$A$1))+1,31)&amp;$F$1,採点基準_観点別!$F$3:$F$1000)),"C","採点基準が不正です"))))</f>
        <v/>
      </c>
      <c r="AF10" s="50"/>
    </row>
    <row r="11" spans="1:32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 t="str">
        <f t="shared" si="0"/>
        <v>未入力</v>
      </c>
      <c r="J11" s="42" t="str">
        <f t="shared" si="1"/>
        <v/>
      </c>
      <c r="K11" s="42" t="str" cm="1">
        <f t="array" aca="1" ref="K11" ca="1">IF(J11 = "","",IF(J11&gt;=INDEX(採点基準_観点別!$C$3:$C$1000,_xlfn.XMATCH(MID(CELL("filename",$A$1),FIND("]",CELL("filename",$A$1))+1,31)&amp;$F$1,採点基準_観点別!$F$3:$F$1000)),"A",IF(J11&gt;=INDEX(採点基準_観点別!$D$3:$D$1000,_xlfn.XMATCH(MID(CELL("filename",$A$1),FIND("]",CELL("filename",$A$1))+1,31)&amp;$F$1,採点基準_観点別!$F$3:$F$1000)),"B",IF(J11&lt;=INDEX(採点基準_観点別!$E$3:$E$1000,_xlfn.XMATCH(MID(CELL("filename",$A$1),FIND("]",CELL("filename",$A$1))+1,31)&amp;$F$1,採点基準_観点別!$F$3:$F$1000)),"C","採点基準が不正です"))))</f>
        <v/>
      </c>
      <c r="L11" s="42"/>
      <c r="M11" s="42"/>
      <c r="N11" s="42"/>
      <c r="O11" s="42"/>
      <c r="P11" s="42"/>
      <c r="Q11" s="42"/>
      <c r="R11" s="42"/>
      <c r="S11" s="42" t="str">
        <f t="shared" si="2"/>
        <v>未入力</v>
      </c>
      <c r="T11" s="42" t="str">
        <f t="shared" si="3"/>
        <v/>
      </c>
      <c r="U11" s="42" t="str" cm="1">
        <f t="array" aca="1" ref="U11" ca="1">IF(T11 = "","",IF(T11&gt;=INDEX(採点基準_観点別!$C$3:$C$1000,_xlfn.XMATCH(MID(CELL("filename",$A$1),FIND("]",CELL("filename",$A$1))+1,31)&amp;$F$1,採点基準_観点別!$F$3:$F$1000)),"A",IF(T11&gt;=INDEX(採点基準_観点別!$D$3:$D$1000,_xlfn.XMATCH(MID(CELL("filename",$A$1),FIND("]",CELL("filename",$A$1))+1,31)&amp;$F$1,採点基準_観点別!$F$3:$F$1000)),"B",IF(T11&lt;=INDEX(採点基準_観点別!$E$3:$E$1000,_xlfn.XMATCH(MID(CELL("filename",$A$1),FIND("]",CELL("filename",$A$1))+1,31)&amp;$F$1,採点基準_観点別!$F$3:$F$1000)),"C","採点基準が不正です"))))</f>
        <v/>
      </c>
      <c r="V11" s="42"/>
      <c r="W11" s="42"/>
      <c r="X11" s="42"/>
      <c r="Y11" s="42"/>
      <c r="Z11" s="42"/>
      <c r="AA11" s="42"/>
      <c r="AB11" s="42"/>
      <c r="AC11" s="42" t="str">
        <f t="shared" si="4"/>
        <v>未入力</v>
      </c>
      <c r="AD11" s="42" t="str">
        <f t="shared" si="5"/>
        <v/>
      </c>
      <c r="AE11" s="42" t="str" cm="1">
        <f t="array" aca="1" ref="AE11" ca="1">IF(AD11 = "","",IF(AD11&gt;=INDEX(採点基準_観点別!$C$3:$C$1000,_xlfn.XMATCH(MID(CELL("filename",$A$1),FIND("]",CELL("filename",$A$1))+1,31)&amp;$F$1,採点基準_観点別!$F$3:$F$1000)),"A",IF(AD11&gt;=INDEX(採点基準_観点別!$D$3:$D$1000,_xlfn.XMATCH(MID(CELL("filename",$A$1),FIND("]",CELL("filename",$A$1))+1,31)&amp;$F$1,採点基準_観点別!$F$3:$F$1000)),"B",IF(AD11&lt;=INDEX(採点基準_観点別!$E$3:$E$1000,_xlfn.XMATCH(MID(CELL("filename",$A$1),FIND("]",CELL("filename",$A$1))+1,31)&amp;$F$1,採点基準_観点別!$F$3:$F$1000)),"C","採点基準が不正です"))))</f>
        <v/>
      </c>
      <c r="AF11" s="51"/>
    </row>
    <row r="12" spans="1:32" x14ac:dyDescent="0.4">
      <c r="A12" s="62">
        <v>8</v>
      </c>
      <c r="B12" s="62" t="s">
        <v>2</v>
      </c>
      <c r="C12" s="31"/>
      <c r="D12" s="31"/>
      <c r="E12" s="31"/>
      <c r="F12" s="31"/>
      <c r="G12" s="31"/>
      <c r="H12" s="31"/>
      <c r="I12" s="31" t="str">
        <f t="shared" si="0"/>
        <v>未入力</v>
      </c>
      <c r="J12" s="31" t="str">
        <f t="shared" si="1"/>
        <v/>
      </c>
      <c r="K12" s="31" t="str" cm="1">
        <f t="array" aca="1" ref="K12" ca="1">IF(J12 = "","",IF(J12&gt;=INDEX(採点基準_観点別!$C$3:$C$1000,_xlfn.XMATCH(MID(CELL("filename",$A$1),FIND("]",CELL("filename",$A$1))+1,31)&amp;$F$1,採点基準_観点別!$F$3:$F$1000)),"A",IF(J12&gt;=INDEX(採点基準_観点別!$D$3:$D$1000,_xlfn.XMATCH(MID(CELL("filename",$A$1),FIND("]",CELL("filename",$A$1))+1,31)&amp;$F$1,採点基準_観点別!$F$3:$F$1000)),"B",IF(J12&lt;=INDEX(採点基準_観点別!$E$3:$E$1000,_xlfn.XMATCH(MID(CELL("filename",$A$1),FIND("]",CELL("filename",$A$1))+1,31)&amp;$F$1,採点基準_観点別!$F$3:$F$1000)),"C","採点基準が不正です"))))</f>
        <v/>
      </c>
      <c r="L12" s="31"/>
      <c r="M12" s="31"/>
      <c r="N12" s="31"/>
      <c r="O12" s="31"/>
      <c r="P12" s="31"/>
      <c r="Q12" s="31"/>
      <c r="R12" s="31"/>
      <c r="S12" s="31" t="str">
        <f t="shared" si="2"/>
        <v>未入力</v>
      </c>
      <c r="T12" s="31" t="str">
        <f t="shared" si="3"/>
        <v/>
      </c>
      <c r="U12" s="31" t="str" cm="1">
        <f t="array" aca="1" ref="U12" ca="1">IF(T12 = "","",IF(T12&gt;=INDEX(採点基準_観点別!$C$3:$C$1000,_xlfn.XMATCH(MID(CELL("filename",$A$1),FIND("]",CELL("filename",$A$1))+1,31)&amp;$F$1,採点基準_観点別!$F$3:$F$1000)),"A",IF(T12&gt;=INDEX(採点基準_観点別!$D$3:$D$1000,_xlfn.XMATCH(MID(CELL("filename",$A$1),FIND("]",CELL("filename",$A$1))+1,31)&amp;$F$1,採点基準_観点別!$F$3:$F$1000)),"B",IF(T12&lt;=INDEX(採点基準_観点別!$E$3:$E$1000,_xlfn.XMATCH(MID(CELL("filename",$A$1),FIND("]",CELL("filename",$A$1))+1,31)&amp;$F$1,採点基準_観点別!$F$3:$F$1000)),"C","採点基準が不正です"))))</f>
        <v/>
      </c>
      <c r="V12" s="31"/>
      <c r="W12" s="31"/>
      <c r="X12" s="31"/>
      <c r="Y12" s="31"/>
      <c r="Z12" s="31"/>
      <c r="AA12" s="31"/>
      <c r="AB12" s="31"/>
      <c r="AC12" s="31" t="str">
        <f t="shared" si="4"/>
        <v>未入力</v>
      </c>
      <c r="AD12" s="31" t="str">
        <f t="shared" si="5"/>
        <v/>
      </c>
      <c r="AE12" s="31" t="str" cm="1">
        <f t="array" aca="1" ref="AE12" ca="1">IF(AD12 = "","",IF(AD12&gt;=INDEX(採点基準_観点別!$C$3:$C$1000,_xlfn.XMATCH(MID(CELL("filename",$A$1),FIND("]",CELL("filename",$A$1))+1,31)&amp;$F$1,採点基準_観点別!$F$3:$F$1000)),"A",IF(AD12&gt;=INDEX(採点基準_観点別!$D$3:$D$1000,_xlfn.XMATCH(MID(CELL("filename",$A$1),FIND("]",CELL("filename",$A$1))+1,31)&amp;$F$1,採点基準_観点別!$F$3:$F$1000)),"B",IF(AD12&lt;=INDEX(採点基準_観点別!$E$3:$E$1000,_xlfn.XMATCH(MID(CELL("filename",$A$1),FIND("]",CELL("filename",$A$1))+1,31)&amp;$F$1,採点基準_観点別!$F$3:$F$1000)),"C","採点基準が不正です"))))</f>
        <v/>
      </c>
      <c r="AF12" s="50"/>
    </row>
    <row r="13" spans="1:32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 t="str">
        <f t="shared" si="0"/>
        <v>未入力</v>
      </c>
      <c r="J13" s="42" t="str">
        <f t="shared" si="1"/>
        <v/>
      </c>
      <c r="K13" s="42" t="str" cm="1">
        <f t="array" aca="1" ref="K13" ca="1">IF(J13 = "","",IF(J13&gt;=INDEX(採点基準_観点別!$C$3:$C$1000,_xlfn.XMATCH(MID(CELL("filename",$A$1),FIND("]",CELL("filename",$A$1))+1,31)&amp;$F$1,採点基準_観点別!$F$3:$F$1000)),"A",IF(J13&gt;=INDEX(採点基準_観点別!$D$3:$D$1000,_xlfn.XMATCH(MID(CELL("filename",$A$1),FIND("]",CELL("filename",$A$1))+1,31)&amp;$F$1,採点基準_観点別!$F$3:$F$1000)),"B",IF(J13&lt;=INDEX(採点基準_観点別!$E$3:$E$1000,_xlfn.XMATCH(MID(CELL("filename",$A$1),FIND("]",CELL("filename",$A$1))+1,31)&amp;$F$1,採点基準_観点別!$F$3:$F$1000)),"C","採点基準が不正です"))))</f>
        <v/>
      </c>
      <c r="L13" s="42"/>
      <c r="M13" s="42"/>
      <c r="N13" s="42"/>
      <c r="O13" s="42"/>
      <c r="P13" s="42"/>
      <c r="Q13" s="42"/>
      <c r="R13" s="42"/>
      <c r="S13" s="42" t="str">
        <f t="shared" si="2"/>
        <v>未入力</v>
      </c>
      <c r="T13" s="42" t="str">
        <f t="shared" si="3"/>
        <v/>
      </c>
      <c r="U13" s="42" t="str" cm="1">
        <f t="array" aca="1" ref="U13" ca="1">IF(T13 = "","",IF(T13&gt;=INDEX(採点基準_観点別!$C$3:$C$1000,_xlfn.XMATCH(MID(CELL("filename",$A$1),FIND("]",CELL("filename",$A$1))+1,31)&amp;$F$1,採点基準_観点別!$F$3:$F$1000)),"A",IF(T13&gt;=INDEX(採点基準_観点別!$D$3:$D$1000,_xlfn.XMATCH(MID(CELL("filename",$A$1),FIND("]",CELL("filename",$A$1))+1,31)&amp;$F$1,採点基準_観点別!$F$3:$F$1000)),"B",IF(T13&lt;=INDEX(採点基準_観点別!$E$3:$E$1000,_xlfn.XMATCH(MID(CELL("filename",$A$1),FIND("]",CELL("filename",$A$1))+1,31)&amp;$F$1,採点基準_観点別!$F$3:$F$1000)),"C","採点基準が不正です"))))</f>
        <v/>
      </c>
      <c r="V13" s="42"/>
      <c r="W13" s="42"/>
      <c r="X13" s="42"/>
      <c r="Y13" s="42"/>
      <c r="Z13" s="42"/>
      <c r="AA13" s="42"/>
      <c r="AB13" s="42"/>
      <c r="AC13" s="42" t="str">
        <f t="shared" si="4"/>
        <v>未入力</v>
      </c>
      <c r="AD13" s="42" t="str">
        <f t="shared" si="5"/>
        <v/>
      </c>
      <c r="AE13" s="42" t="str" cm="1">
        <f t="array" aca="1" ref="AE13" ca="1">IF(AD13 = "","",IF(AD13&gt;=INDEX(採点基準_観点別!$C$3:$C$1000,_xlfn.XMATCH(MID(CELL("filename",$A$1),FIND("]",CELL("filename",$A$1))+1,31)&amp;$F$1,採点基準_観点別!$F$3:$F$1000)),"A",IF(AD13&gt;=INDEX(採点基準_観点別!$D$3:$D$1000,_xlfn.XMATCH(MID(CELL("filename",$A$1),FIND("]",CELL("filename",$A$1))+1,31)&amp;$F$1,採点基準_観点別!$F$3:$F$1000)),"B",IF(AD13&lt;=INDEX(採点基準_観点別!$E$3:$E$1000,_xlfn.XMATCH(MID(CELL("filename",$A$1),FIND("]",CELL("filename",$A$1))+1,31)&amp;$F$1,採点基準_観点別!$F$3:$F$1000)),"C","採点基準が不正です"))))</f>
        <v/>
      </c>
      <c r="AF13" s="51"/>
    </row>
    <row r="14" spans="1:32" x14ac:dyDescent="0.4">
      <c r="A14" s="62">
        <v>10</v>
      </c>
      <c r="B14" s="62" t="s">
        <v>2</v>
      </c>
      <c r="C14" s="31"/>
      <c r="D14" s="31"/>
      <c r="E14" s="31"/>
      <c r="F14" s="31"/>
      <c r="G14" s="31"/>
      <c r="H14" s="31"/>
      <c r="I14" s="31" t="str">
        <f t="shared" si="0"/>
        <v>未入力</v>
      </c>
      <c r="J14" s="31" t="str">
        <f t="shared" si="1"/>
        <v/>
      </c>
      <c r="K14" s="31" t="str" cm="1">
        <f t="array" aca="1" ref="K14" ca="1">IF(J14 = "","",IF(J14&gt;=INDEX(採点基準_観点別!$C$3:$C$1000,_xlfn.XMATCH(MID(CELL("filename",$A$1),FIND("]",CELL("filename",$A$1))+1,31)&amp;$F$1,採点基準_観点別!$F$3:$F$1000)),"A",IF(J14&gt;=INDEX(採点基準_観点別!$D$3:$D$1000,_xlfn.XMATCH(MID(CELL("filename",$A$1),FIND("]",CELL("filename",$A$1))+1,31)&amp;$F$1,採点基準_観点別!$F$3:$F$1000)),"B",IF(J14&lt;=INDEX(採点基準_観点別!$E$3:$E$1000,_xlfn.XMATCH(MID(CELL("filename",$A$1),FIND("]",CELL("filename",$A$1))+1,31)&amp;$F$1,採点基準_観点別!$F$3:$F$1000)),"C","採点基準が不正です"))))</f>
        <v/>
      </c>
      <c r="L14" s="31"/>
      <c r="M14" s="31"/>
      <c r="N14" s="31"/>
      <c r="O14" s="31"/>
      <c r="P14" s="31"/>
      <c r="Q14" s="31"/>
      <c r="R14" s="31"/>
      <c r="S14" s="31" t="str">
        <f t="shared" si="2"/>
        <v>未入力</v>
      </c>
      <c r="T14" s="31" t="str">
        <f t="shared" si="3"/>
        <v/>
      </c>
      <c r="U14" s="31" t="str" cm="1">
        <f t="array" aca="1" ref="U14" ca="1">IF(T14 = "","",IF(T14&gt;=INDEX(採点基準_観点別!$C$3:$C$1000,_xlfn.XMATCH(MID(CELL("filename",$A$1),FIND("]",CELL("filename",$A$1))+1,31)&amp;$F$1,採点基準_観点別!$F$3:$F$1000)),"A",IF(T14&gt;=INDEX(採点基準_観点別!$D$3:$D$1000,_xlfn.XMATCH(MID(CELL("filename",$A$1),FIND("]",CELL("filename",$A$1))+1,31)&amp;$F$1,採点基準_観点別!$F$3:$F$1000)),"B",IF(T14&lt;=INDEX(採点基準_観点別!$E$3:$E$1000,_xlfn.XMATCH(MID(CELL("filename",$A$1),FIND("]",CELL("filename",$A$1))+1,31)&amp;$F$1,採点基準_観点別!$F$3:$F$1000)),"C","採点基準が不正です"))))</f>
        <v/>
      </c>
      <c r="V14" s="31"/>
      <c r="W14" s="31"/>
      <c r="X14" s="31"/>
      <c r="Y14" s="31"/>
      <c r="Z14" s="31"/>
      <c r="AA14" s="31"/>
      <c r="AB14" s="31"/>
      <c r="AC14" s="31" t="str">
        <f t="shared" si="4"/>
        <v>未入力</v>
      </c>
      <c r="AD14" s="31" t="str">
        <f t="shared" si="5"/>
        <v/>
      </c>
      <c r="AE14" s="31" t="str" cm="1">
        <f t="array" aca="1" ref="AE14" ca="1">IF(AD14 = "","",IF(AD14&gt;=INDEX(採点基準_観点別!$C$3:$C$1000,_xlfn.XMATCH(MID(CELL("filename",$A$1),FIND("]",CELL("filename",$A$1))+1,31)&amp;$F$1,採点基準_観点別!$F$3:$F$1000)),"A",IF(AD14&gt;=INDEX(採点基準_観点別!$D$3:$D$1000,_xlfn.XMATCH(MID(CELL("filename",$A$1),FIND("]",CELL("filename",$A$1))+1,31)&amp;$F$1,採点基準_観点別!$F$3:$F$1000)),"B",IF(AD14&lt;=INDEX(採点基準_観点別!$E$3:$E$1000,_xlfn.XMATCH(MID(CELL("filename",$A$1),FIND("]",CELL("filename",$A$1))+1,31)&amp;$F$1,採点基準_観点別!$F$3:$F$1000)),"C","採点基準が不正です"))))</f>
        <v/>
      </c>
      <c r="AF14" s="50"/>
    </row>
    <row r="15" spans="1:32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 t="str">
        <f t="shared" si="0"/>
        <v>未入力</v>
      </c>
      <c r="J15" s="42" t="str">
        <f t="shared" si="1"/>
        <v/>
      </c>
      <c r="K15" s="42" t="str" cm="1">
        <f t="array" aca="1" ref="K15" ca="1">IF(J15 = "","",IF(J15&gt;=INDEX(採点基準_観点別!$C$3:$C$1000,_xlfn.XMATCH(MID(CELL("filename",$A$1),FIND("]",CELL("filename",$A$1))+1,31)&amp;$F$1,採点基準_観点別!$F$3:$F$1000)),"A",IF(J15&gt;=INDEX(採点基準_観点別!$D$3:$D$1000,_xlfn.XMATCH(MID(CELL("filename",$A$1),FIND("]",CELL("filename",$A$1))+1,31)&amp;$F$1,採点基準_観点別!$F$3:$F$1000)),"B",IF(J15&lt;=INDEX(採点基準_観点別!$E$3:$E$1000,_xlfn.XMATCH(MID(CELL("filename",$A$1),FIND("]",CELL("filename",$A$1))+1,31)&amp;$F$1,採点基準_観点別!$F$3:$F$1000)),"C","採点基準が不正です"))))</f>
        <v/>
      </c>
      <c r="L15" s="42"/>
      <c r="M15" s="42"/>
      <c r="N15" s="42"/>
      <c r="O15" s="42"/>
      <c r="P15" s="42"/>
      <c r="Q15" s="42"/>
      <c r="R15" s="42"/>
      <c r="S15" s="42" t="str">
        <f t="shared" si="2"/>
        <v>未入力</v>
      </c>
      <c r="T15" s="42" t="str">
        <f t="shared" si="3"/>
        <v/>
      </c>
      <c r="U15" s="42" t="str" cm="1">
        <f t="array" aca="1" ref="U15" ca="1">IF(T15 = "","",IF(T15&gt;=INDEX(採点基準_観点別!$C$3:$C$1000,_xlfn.XMATCH(MID(CELL("filename",$A$1),FIND("]",CELL("filename",$A$1))+1,31)&amp;$F$1,採点基準_観点別!$F$3:$F$1000)),"A",IF(T15&gt;=INDEX(採点基準_観点別!$D$3:$D$1000,_xlfn.XMATCH(MID(CELL("filename",$A$1),FIND("]",CELL("filename",$A$1))+1,31)&amp;$F$1,採点基準_観点別!$F$3:$F$1000)),"B",IF(T15&lt;=INDEX(採点基準_観点別!$E$3:$E$1000,_xlfn.XMATCH(MID(CELL("filename",$A$1),FIND("]",CELL("filename",$A$1))+1,31)&amp;$F$1,採点基準_観点別!$F$3:$F$1000)),"C","採点基準が不正です"))))</f>
        <v/>
      </c>
      <c r="V15" s="42"/>
      <c r="W15" s="42"/>
      <c r="X15" s="42"/>
      <c r="Y15" s="42"/>
      <c r="Z15" s="42"/>
      <c r="AA15" s="42"/>
      <c r="AB15" s="42"/>
      <c r="AC15" s="42" t="str">
        <f t="shared" si="4"/>
        <v>未入力</v>
      </c>
      <c r="AD15" s="42" t="str">
        <f t="shared" si="5"/>
        <v/>
      </c>
      <c r="AE15" s="42" t="str" cm="1">
        <f t="array" aca="1" ref="AE15" ca="1">IF(AD15 = "","",IF(AD15&gt;=INDEX(採点基準_観点別!$C$3:$C$1000,_xlfn.XMATCH(MID(CELL("filename",$A$1),FIND("]",CELL("filename",$A$1))+1,31)&amp;$F$1,採点基準_観点別!$F$3:$F$1000)),"A",IF(AD15&gt;=INDEX(採点基準_観点別!$D$3:$D$1000,_xlfn.XMATCH(MID(CELL("filename",$A$1),FIND("]",CELL("filename",$A$1))+1,31)&amp;$F$1,採点基準_観点別!$F$3:$F$1000)),"B",IF(AD15&lt;=INDEX(採点基準_観点別!$E$3:$E$1000,_xlfn.XMATCH(MID(CELL("filename",$A$1),FIND("]",CELL("filename",$A$1))+1,31)&amp;$F$1,採点基準_観点別!$F$3:$F$1000)),"C","採点基準が不正です"))))</f>
        <v/>
      </c>
      <c r="AF15" s="51"/>
    </row>
    <row r="16" spans="1:32" x14ac:dyDescent="0.4">
      <c r="A16" s="62">
        <v>12</v>
      </c>
      <c r="B16" s="62" t="s">
        <v>2</v>
      </c>
      <c r="C16" s="31"/>
      <c r="D16" s="31"/>
      <c r="E16" s="31"/>
      <c r="F16" s="31"/>
      <c r="G16" s="31"/>
      <c r="H16" s="31"/>
      <c r="I16" s="31" t="str">
        <f t="shared" si="0"/>
        <v>未入力</v>
      </c>
      <c r="J16" s="31" t="str">
        <f t="shared" si="1"/>
        <v/>
      </c>
      <c r="K16" s="31" t="str" cm="1">
        <f t="array" aca="1" ref="K16" ca="1">IF(J16 = "","",IF(J16&gt;=INDEX(採点基準_観点別!$C$3:$C$1000,_xlfn.XMATCH(MID(CELL("filename",$A$1),FIND("]",CELL("filename",$A$1))+1,31)&amp;$F$1,採点基準_観点別!$F$3:$F$1000)),"A",IF(J16&gt;=INDEX(採点基準_観点別!$D$3:$D$1000,_xlfn.XMATCH(MID(CELL("filename",$A$1),FIND("]",CELL("filename",$A$1))+1,31)&amp;$F$1,採点基準_観点別!$F$3:$F$1000)),"B",IF(J16&lt;=INDEX(採点基準_観点別!$E$3:$E$1000,_xlfn.XMATCH(MID(CELL("filename",$A$1),FIND("]",CELL("filename",$A$1))+1,31)&amp;$F$1,採点基準_観点別!$F$3:$F$1000)),"C","採点基準が不正です"))))</f>
        <v/>
      </c>
      <c r="L16" s="31"/>
      <c r="M16" s="31"/>
      <c r="N16" s="31"/>
      <c r="O16" s="31"/>
      <c r="P16" s="31"/>
      <c r="Q16" s="31"/>
      <c r="R16" s="31"/>
      <c r="S16" s="31" t="str">
        <f t="shared" si="2"/>
        <v>未入力</v>
      </c>
      <c r="T16" s="31" t="str">
        <f t="shared" si="3"/>
        <v/>
      </c>
      <c r="U16" s="31" t="str" cm="1">
        <f t="array" aca="1" ref="U16" ca="1">IF(T16 = "","",IF(T16&gt;=INDEX(採点基準_観点別!$C$3:$C$1000,_xlfn.XMATCH(MID(CELL("filename",$A$1),FIND("]",CELL("filename",$A$1))+1,31)&amp;$F$1,採点基準_観点別!$F$3:$F$1000)),"A",IF(T16&gt;=INDEX(採点基準_観点別!$D$3:$D$1000,_xlfn.XMATCH(MID(CELL("filename",$A$1),FIND("]",CELL("filename",$A$1))+1,31)&amp;$F$1,採点基準_観点別!$F$3:$F$1000)),"B",IF(T16&lt;=INDEX(採点基準_観点別!$E$3:$E$1000,_xlfn.XMATCH(MID(CELL("filename",$A$1),FIND("]",CELL("filename",$A$1))+1,31)&amp;$F$1,採点基準_観点別!$F$3:$F$1000)),"C","採点基準が不正です"))))</f>
        <v/>
      </c>
      <c r="V16" s="31"/>
      <c r="W16" s="31"/>
      <c r="X16" s="31"/>
      <c r="Y16" s="31"/>
      <c r="Z16" s="31"/>
      <c r="AA16" s="31"/>
      <c r="AB16" s="31"/>
      <c r="AC16" s="31" t="str">
        <f t="shared" si="4"/>
        <v>未入力</v>
      </c>
      <c r="AD16" s="31" t="str">
        <f t="shared" si="5"/>
        <v/>
      </c>
      <c r="AE16" s="31" t="str" cm="1">
        <f t="array" aca="1" ref="AE16" ca="1">IF(AD16 = "","",IF(AD16&gt;=INDEX(採点基準_観点別!$C$3:$C$1000,_xlfn.XMATCH(MID(CELL("filename",$A$1),FIND("]",CELL("filename",$A$1))+1,31)&amp;$F$1,採点基準_観点別!$F$3:$F$1000)),"A",IF(AD16&gt;=INDEX(採点基準_観点別!$D$3:$D$1000,_xlfn.XMATCH(MID(CELL("filename",$A$1),FIND("]",CELL("filename",$A$1))+1,31)&amp;$F$1,採点基準_観点別!$F$3:$F$1000)),"B",IF(AD16&lt;=INDEX(採点基準_観点別!$E$3:$E$1000,_xlfn.XMATCH(MID(CELL("filename",$A$1),FIND("]",CELL("filename",$A$1))+1,31)&amp;$F$1,採点基準_観点別!$F$3:$F$1000)),"C","採点基準が不正です"))))</f>
        <v/>
      </c>
      <c r="AF16" s="50"/>
    </row>
    <row r="17" spans="1:32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 t="str">
        <f t="shared" si="0"/>
        <v>未入力</v>
      </c>
      <c r="J17" s="42" t="str">
        <f t="shared" si="1"/>
        <v/>
      </c>
      <c r="K17" s="42" t="str" cm="1">
        <f t="array" aca="1" ref="K17" ca="1">IF(J17 = "","",IF(J17&gt;=INDEX(採点基準_観点別!$C$3:$C$1000,_xlfn.XMATCH(MID(CELL("filename",$A$1),FIND("]",CELL("filename",$A$1))+1,31)&amp;$F$1,採点基準_観点別!$F$3:$F$1000)),"A",IF(J17&gt;=INDEX(採点基準_観点別!$D$3:$D$1000,_xlfn.XMATCH(MID(CELL("filename",$A$1),FIND("]",CELL("filename",$A$1))+1,31)&amp;$F$1,採点基準_観点別!$F$3:$F$1000)),"B",IF(J17&lt;=INDEX(採点基準_観点別!$E$3:$E$1000,_xlfn.XMATCH(MID(CELL("filename",$A$1),FIND("]",CELL("filename",$A$1))+1,31)&amp;$F$1,採点基準_観点別!$F$3:$F$1000)),"C","採点基準が不正です"))))</f>
        <v/>
      </c>
      <c r="L17" s="42"/>
      <c r="M17" s="42"/>
      <c r="N17" s="42"/>
      <c r="O17" s="42"/>
      <c r="P17" s="42"/>
      <c r="Q17" s="42"/>
      <c r="R17" s="42"/>
      <c r="S17" s="42" t="str">
        <f t="shared" si="2"/>
        <v>未入力</v>
      </c>
      <c r="T17" s="42" t="str">
        <f t="shared" si="3"/>
        <v/>
      </c>
      <c r="U17" s="42" t="str" cm="1">
        <f t="array" aca="1" ref="U17" ca="1">IF(T17 = "","",IF(T17&gt;=INDEX(採点基準_観点別!$C$3:$C$1000,_xlfn.XMATCH(MID(CELL("filename",$A$1),FIND("]",CELL("filename",$A$1))+1,31)&amp;$F$1,採点基準_観点別!$F$3:$F$1000)),"A",IF(T17&gt;=INDEX(採点基準_観点別!$D$3:$D$1000,_xlfn.XMATCH(MID(CELL("filename",$A$1),FIND("]",CELL("filename",$A$1))+1,31)&amp;$F$1,採点基準_観点別!$F$3:$F$1000)),"B",IF(T17&lt;=INDEX(採点基準_観点別!$E$3:$E$1000,_xlfn.XMATCH(MID(CELL("filename",$A$1),FIND("]",CELL("filename",$A$1))+1,31)&amp;$F$1,採点基準_観点別!$F$3:$F$1000)),"C","採点基準が不正です"))))</f>
        <v/>
      </c>
      <c r="V17" s="42"/>
      <c r="W17" s="42"/>
      <c r="X17" s="42"/>
      <c r="Y17" s="42"/>
      <c r="Z17" s="42"/>
      <c r="AA17" s="42"/>
      <c r="AB17" s="42"/>
      <c r="AC17" s="42" t="str">
        <f t="shared" si="4"/>
        <v>未入力</v>
      </c>
      <c r="AD17" s="42" t="str">
        <f t="shared" si="5"/>
        <v/>
      </c>
      <c r="AE17" s="42" t="str" cm="1">
        <f t="array" aca="1" ref="AE17" ca="1">IF(AD17 = "","",IF(AD17&gt;=INDEX(採点基準_観点別!$C$3:$C$1000,_xlfn.XMATCH(MID(CELL("filename",$A$1),FIND("]",CELL("filename",$A$1))+1,31)&amp;$F$1,採点基準_観点別!$F$3:$F$1000)),"A",IF(AD17&gt;=INDEX(採点基準_観点別!$D$3:$D$1000,_xlfn.XMATCH(MID(CELL("filename",$A$1),FIND("]",CELL("filename",$A$1))+1,31)&amp;$F$1,採点基準_観点別!$F$3:$F$1000)),"B",IF(AD17&lt;=INDEX(採点基準_観点別!$E$3:$E$1000,_xlfn.XMATCH(MID(CELL("filename",$A$1),FIND("]",CELL("filename",$A$1))+1,31)&amp;$F$1,採点基準_観点別!$F$3:$F$1000)),"C","採点基準が不正です"))))</f>
        <v/>
      </c>
      <c r="AF17" s="51"/>
    </row>
    <row r="18" spans="1:32" x14ac:dyDescent="0.4">
      <c r="A18" s="62">
        <v>14</v>
      </c>
      <c r="B18" s="62" t="s">
        <v>2</v>
      </c>
      <c r="C18" s="31"/>
      <c r="D18" s="31"/>
      <c r="E18" s="31"/>
      <c r="F18" s="31"/>
      <c r="G18" s="31"/>
      <c r="H18" s="31"/>
      <c r="I18" s="31" t="str">
        <f t="shared" si="0"/>
        <v>未入力</v>
      </c>
      <c r="J18" s="31" t="str">
        <f t="shared" si="1"/>
        <v/>
      </c>
      <c r="K18" s="31" t="str" cm="1">
        <f t="array" aca="1" ref="K18" ca="1">IF(J18 = "","",IF(J18&gt;=INDEX(採点基準_観点別!$C$3:$C$1000,_xlfn.XMATCH(MID(CELL("filename",$A$1),FIND("]",CELL("filename",$A$1))+1,31)&amp;$F$1,採点基準_観点別!$F$3:$F$1000)),"A",IF(J18&gt;=INDEX(採点基準_観点別!$D$3:$D$1000,_xlfn.XMATCH(MID(CELL("filename",$A$1),FIND("]",CELL("filename",$A$1))+1,31)&amp;$F$1,採点基準_観点別!$F$3:$F$1000)),"B",IF(J18&lt;=INDEX(採点基準_観点別!$E$3:$E$1000,_xlfn.XMATCH(MID(CELL("filename",$A$1),FIND("]",CELL("filename",$A$1))+1,31)&amp;$F$1,採点基準_観点別!$F$3:$F$1000)),"C","採点基準が不正です"))))</f>
        <v/>
      </c>
      <c r="L18" s="31"/>
      <c r="M18" s="31"/>
      <c r="N18" s="31"/>
      <c r="O18" s="31"/>
      <c r="P18" s="31"/>
      <c r="Q18" s="31"/>
      <c r="R18" s="31"/>
      <c r="S18" s="31" t="str">
        <f t="shared" si="2"/>
        <v>未入力</v>
      </c>
      <c r="T18" s="31" t="str">
        <f t="shared" si="3"/>
        <v/>
      </c>
      <c r="U18" s="31" t="str" cm="1">
        <f t="array" aca="1" ref="U18" ca="1">IF(T18 = "","",IF(T18&gt;=INDEX(採点基準_観点別!$C$3:$C$1000,_xlfn.XMATCH(MID(CELL("filename",$A$1),FIND("]",CELL("filename",$A$1))+1,31)&amp;$F$1,採点基準_観点別!$F$3:$F$1000)),"A",IF(T18&gt;=INDEX(採点基準_観点別!$D$3:$D$1000,_xlfn.XMATCH(MID(CELL("filename",$A$1),FIND("]",CELL("filename",$A$1))+1,31)&amp;$F$1,採点基準_観点別!$F$3:$F$1000)),"B",IF(T18&lt;=INDEX(採点基準_観点別!$E$3:$E$1000,_xlfn.XMATCH(MID(CELL("filename",$A$1),FIND("]",CELL("filename",$A$1))+1,31)&amp;$F$1,採点基準_観点別!$F$3:$F$1000)),"C","採点基準が不正です"))))</f>
        <v/>
      </c>
      <c r="V18" s="31"/>
      <c r="W18" s="31"/>
      <c r="X18" s="31"/>
      <c r="Y18" s="31"/>
      <c r="Z18" s="31"/>
      <c r="AA18" s="31"/>
      <c r="AB18" s="31"/>
      <c r="AC18" s="31" t="str">
        <f t="shared" si="4"/>
        <v>未入力</v>
      </c>
      <c r="AD18" s="31" t="str">
        <f t="shared" si="5"/>
        <v/>
      </c>
      <c r="AE18" s="31" t="str" cm="1">
        <f t="array" aca="1" ref="AE18" ca="1">IF(AD18 = "","",IF(AD18&gt;=INDEX(採点基準_観点別!$C$3:$C$1000,_xlfn.XMATCH(MID(CELL("filename",$A$1),FIND("]",CELL("filename",$A$1))+1,31)&amp;$F$1,採点基準_観点別!$F$3:$F$1000)),"A",IF(AD18&gt;=INDEX(採点基準_観点別!$D$3:$D$1000,_xlfn.XMATCH(MID(CELL("filename",$A$1),FIND("]",CELL("filename",$A$1))+1,31)&amp;$F$1,採点基準_観点別!$F$3:$F$1000)),"B",IF(AD18&lt;=INDEX(採点基準_観点別!$E$3:$E$1000,_xlfn.XMATCH(MID(CELL("filename",$A$1),FIND("]",CELL("filename",$A$1))+1,31)&amp;$F$1,採点基準_観点別!$F$3:$F$1000)),"C","採点基準が不正です"))))</f>
        <v/>
      </c>
      <c r="AF18" s="50"/>
    </row>
    <row r="19" spans="1:32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 t="str">
        <f t="shared" si="0"/>
        <v>未入力</v>
      </c>
      <c r="J19" s="42" t="str">
        <f t="shared" si="1"/>
        <v/>
      </c>
      <c r="K19" s="42" t="str" cm="1">
        <f t="array" aca="1" ref="K19" ca="1">IF(J19 = "","",IF(J19&gt;=INDEX(採点基準_観点別!$C$3:$C$1000,_xlfn.XMATCH(MID(CELL("filename",$A$1),FIND("]",CELL("filename",$A$1))+1,31)&amp;$F$1,採点基準_観点別!$F$3:$F$1000)),"A",IF(J19&gt;=INDEX(採点基準_観点別!$D$3:$D$1000,_xlfn.XMATCH(MID(CELL("filename",$A$1),FIND("]",CELL("filename",$A$1))+1,31)&amp;$F$1,採点基準_観点別!$F$3:$F$1000)),"B",IF(J19&lt;=INDEX(採点基準_観点別!$E$3:$E$1000,_xlfn.XMATCH(MID(CELL("filename",$A$1),FIND("]",CELL("filename",$A$1))+1,31)&amp;$F$1,採点基準_観点別!$F$3:$F$1000)),"C","採点基準が不正です"))))</f>
        <v/>
      </c>
      <c r="L19" s="42"/>
      <c r="M19" s="42"/>
      <c r="N19" s="42"/>
      <c r="O19" s="42"/>
      <c r="P19" s="42"/>
      <c r="Q19" s="42"/>
      <c r="R19" s="42"/>
      <c r="S19" s="42" t="str">
        <f t="shared" si="2"/>
        <v>未入力</v>
      </c>
      <c r="T19" s="42" t="str">
        <f t="shared" si="3"/>
        <v/>
      </c>
      <c r="U19" s="42" t="str" cm="1">
        <f t="array" aca="1" ref="U19" ca="1">IF(T19 = "","",IF(T19&gt;=INDEX(採点基準_観点別!$C$3:$C$1000,_xlfn.XMATCH(MID(CELL("filename",$A$1),FIND("]",CELL("filename",$A$1))+1,31)&amp;$F$1,採点基準_観点別!$F$3:$F$1000)),"A",IF(T19&gt;=INDEX(採点基準_観点別!$D$3:$D$1000,_xlfn.XMATCH(MID(CELL("filename",$A$1),FIND("]",CELL("filename",$A$1))+1,31)&amp;$F$1,採点基準_観点別!$F$3:$F$1000)),"B",IF(T19&lt;=INDEX(採点基準_観点別!$E$3:$E$1000,_xlfn.XMATCH(MID(CELL("filename",$A$1),FIND("]",CELL("filename",$A$1))+1,31)&amp;$F$1,採点基準_観点別!$F$3:$F$1000)),"C","採点基準が不正です"))))</f>
        <v/>
      </c>
      <c r="V19" s="42"/>
      <c r="W19" s="42"/>
      <c r="X19" s="42"/>
      <c r="Y19" s="42"/>
      <c r="Z19" s="42"/>
      <c r="AA19" s="42"/>
      <c r="AB19" s="42"/>
      <c r="AC19" s="42" t="str">
        <f t="shared" si="4"/>
        <v>未入力</v>
      </c>
      <c r="AD19" s="42" t="str">
        <f t="shared" si="5"/>
        <v/>
      </c>
      <c r="AE19" s="42" t="str" cm="1">
        <f t="array" aca="1" ref="AE19" ca="1">IF(AD19 = "","",IF(AD19&gt;=INDEX(採点基準_観点別!$C$3:$C$1000,_xlfn.XMATCH(MID(CELL("filename",$A$1),FIND("]",CELL("filename",$A$1))+1,31)&amp;$F$1,採点基準_観点別!$F$3:$F$1000)),"A",IF(AD19&gt;=INDEX(採点基準_観点別!$D$3:$D$1000,_xlfn.XMATCH(MID(CELL("filename",$A$1),FIND("]",CELL("filename",$A$1))+1,31)&amp;$F$1,採点基準_観点別!$F$3:$F$1000)),"B",IF(AD19&lt;=INDEX(採点基準_観点別!$E$3:$E$1000,_xlfn.XMATCH(MID(CELL("filename",$A$1),FIND("]",CELL("filename",$A$1))+1,31)&amp;$F$1,採点基準_観点別!$F$3:$F$1000)),"C","採点基準が不正です"))))</f>
        <v/>
      </c>
      <c r="AF19" s="51"/>
    </row>
    <row r="20" spans="1:32" x14ac:dyDescent="0.4">
      <c r="A20" s="62">
        <v>14</v>
      </c>
      <c r="B20" s="62" t="s">
        <v>2</v>
      </c>
      <c r="C20" s="31"/>
      <c r="D20" s="31"/>
      <c r="E20" s="31"/>
      <c r="F20" s="31"/>
      <c r="G20" s="31"/>
      <c r="H20" s="31"/>
      <c r="I20" s="31" t="str">
        <f t="shared" si="0"/>
        <v>未入力</v>
      </c>
      <c r="J20" s="31" t="str">
        <f t="shared" si="1"/>
        <v/>
      </c>
      <c r="K20" s="31" t="str" cm="1">
        <f t="array" aca="1" ref="K20" ca="1">IF(J20 = "","",IF(J20&gt;=INDEX(採点基準_観点別!$C$3:$C$1000,_xlfn.XMATCH(MID(CELL("filename",$A$1),FIND("]",CELL("filename",$A$1))+1,31)&amp;$F$1,採点基準_観点別!$F$3:$F$1000)),"A",IF(J20&gt;=INDEX(採点基準_観点別!$D$3:$D$1000,_xlfn.XMATCH(MID(CELL("filename",$A$1),FIND("]",CELL("filename",$A$1))+1,31)&amp;$F$1,採点基準_観点別!$F$3:$F$1000)),"B",IF(J20&lt;=INDEX(採点基準_観点別!$E$3:$E$1000,_xlfn.XMATCH(MID(CELL("filename",$A$1),FIND("]",CELL("filename",$A$1))+1,31)&amp;$F$1,採点基準_観点別!$F$3:$F$1000)),"C","採点基準が不正です"))))</f>
        <v/>
      </c>
      <c r="L20" s="31"/>
      <c r="M20" s="31"/>
      <c r="N20" s="31"/>
      <c r="O20" s="31"/>
      <c r="P20" s="31"/>
      <c r="Q20" s="31"/>
      <c r="R20" s="31"/>
      <c r="S20" s="31" t="str">
        <f t="shared" si="2"/>
        <v>未入力</v>
      </c>
      <c r="T20" s="31" t="str">
        <f t="shared" si="3"/>
        <v/>
      </c>
      <c r="U20" s="31" t="str" cm="1">
        <f t="array" aca="1" ref="U20" ca="1">IF(T20 = "","",IF(T20&gt;=INDEX(採点基準_観点別!$C$3:$C$1000,_xlfn.XMATCH(MID(CELL("filename",$A$1),FIND("]",CELL("filename",$A$1))+1,31)&amp;$F$1,採点基準_観点別!$F$3:$F$1000)),"A",IF(T20&gt;=INDEX(採点基準_観点別!$D$3:$D$1000,_xlfn.XMATCH(MID(CELL("filename",$A$1),FIND("]",CELL("filename",$A$1))+1,31)&amp;$F$1,採点基準_観点別!$F$3:$F$1000)),"B",IF(T20&lt;=INDEX(採点基準_観点別!$E$3:$E$1000,_xlfn.XMATCH(MID(CELL("filename",$A$1),FIND("]",CELL("filename",$A$1))+1,31)&amp;$F$1,採点基準_観点別!$F$3:$F$1000)),"C","採点基準が不正です"))))</f>
        <v/>
      </c>
      <c r="V20" s="31"/>
      <c r="W20" s="31"/>
      <c r="X20" s="31"/>
      <c r="Y20" s="31"/>
      <c r="Z20" s="31"/>
      <c r="AA20" s="31"/>
      <c r="AB20" s="31"/>
      <c r="AC20" s="31" t="str">
        <f t="shared" si="4"/>
        <v>未入力</v>
      </c>
      <c r="AD20" s="31" t="str">
        <f t="shared" si="5"/>
        <v/>
      </c>
      <c r="AE20" s="31" t="str" cm="1">
        <f t="array" aca="1" ref="AE20" ca="1">IF(AD20 = "","",IF(AD20&gt;=INDEX(採点基準_観点別!$C$3:$C$1000,_xlfn.XMATCH(MID(CELL("filename",$A$1),FIND("]",CELL("filename",$A$1))+1,31)&amp;$F$1,採点基準_観点別!$F$3:$F$1000)),"A",IF(AD20&gt;=INDEX(採点基準_観点別!$D$3:$D$1000,_xlfn.XMATCH(MID(CELL("filename",$A$1),FIND("]",CELL("filename",$A$1))+1,31)&amp;$F$1,採点基準_観点別!$F$3:$F$1000)),"B",IF(AD20&lt;=INDEX(採点基準_観点別!$E$3:$E$1000,_xlfn.XMATCH(MID(CELL("filename",$A$1),FIND("]",CELL("filename",$A$1))+1,31)&amp;$F$1,採点基準_観点別!$F$3:$F$1000)),"C","採点基準が不正です"))))</f>
        <v/>
      </c>
      <c r="AF20" s="50"/>
    </row>
    <row r="21" spans="1:32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 t="str">
        <f t="shared" si="0"/>
        <v>未入力</v>
      </c>
      <c r="J21" s="42" t="str">
        <f t="shared" si="1"/>
        <v/>
      </c>
      <c r="K21" s="42" t="str" cm="1">
        <f t="array" aca="1" ref="K21" ca="1">IF(J21 = "","",IF(J21&gt;=INDEX(採点基準_観点別!$C$3:$C$1000,_xlfn.XMATCH(MID(CELL("filename",$A$1),FIND("]",CELL("filename",$A$1))+1,31)&amp;$F$1,採点基準_観点別!$F$3:$F$1000)),"A",IF(J21&gt;=INDEX(採点基準_観点別!$D$3:$D$1000,_xlfn.XMATCH(MID(CELL("filename",$A$1),FIND("]",CELL("filename",$A$1))+1,31)&amp;$F$1,採点基準_観点別!$F$3:$F$1000)),"B",IF(J21&lt;=INDEX(採点基準_観点別!$E$3:$E$1000,_xlfn.XMATCH(MID(CELL("filename",$A$1),FIND("]",CELL("filename",$A$1))+1,31)&amp;$F$1,採点基準_観点別!$F$3:$F$1000)),"C","採点基準が不正です"))))</f>
        <v/>
      </c>
      <c r="L21" s="42"/>
      <c r="M21" s="42"/>
      <c r="N21" s="42"/>
      <c r="O21" s="42"/>
      <c r="P21" s="42"/>
      <c r="Q21" s="42"/>
      <c r="R21" s="42"/>
      <c r="S21" s="42" t="str">
        <f t="shared" si="2"/>
        <v>未入力</v>
      </c>
      <c r="T21" s="42" t="str">
        <f t="shared" si="3"/>
        <v/>
      </c>
      <c r="U21" s="42" t="str" cm="1">
        <f t="array" aca="1" ref="U21" ca="1">IF(T21 = "","",IF(T21&gt;=INDEX(採点基準_観点別!$C$3:$C$1000,_xlfn.XMATCH(MID(CELL("filename",$A$1),FIND("]",CELL("filename",$A$1))+1,31)&amp;$F$1,採点基準_観点別!$F$3:$F$1000)),"A",IF(T21&gt;=INDEX(採点基準_観点別!$D$3:$D$1000,_xlfn.XMATCH(MID(CELL("filename",$A$1),FIND("]",CELL("filename",$A$1))+1,31)&amp;$F$1,採点基準_観点別!$F$3:$F$1000)),"B",IF(T21&lt;=INDEX(採点基準_観点別!$E$3:$E$1000,_xlfn.XMATCH(MID(CELL("filename",$A$1),FIND("]",CELL("filename",$A$1))+1,31)&amp;$F$1,採点基準_観点別!$F$3:$F$1000)),"C","採点基準が不正です"))))</f>
        <v/>
      </c>
      <c r="V21" s="42"/>
      <c r="W21" s="42"/>
      <c r="X21" s="42"/>
      <c r="Y21" s="42"/>
      <c r="Z21" s="42"/>
      <c r="AA21" s="42"/>
      <c r="AB21" s="42"/>
      <c r="AC21" s="42" t="str">
        <f t="shared" si="4"/>
        <v>未入力</v>
      </c>
      <c r="AD21" s="42" t="str">
        <f t="shared" si="5"/>
        <v/>
      </c>
      <c r="AE21" s="42" t="str" cm="1">
        <f t="array" aca="1" ref="AE21" ca="1">IF(AD21 = "","",IF(AD21&gt;=INDEX(採点基準_観点別!$C$3:$C$1000,_xlfn.XMATCH(MID(CELL("filename",$A$1),FIND("]",CELL("filename",$A$1))+1,31)&amp;$F$1,採点基準_観点別!$F$3:$F$1000)),"A",IF(AD21&gt;=INDEX(採点基準_観点別!$D$3:$D$1000,_xlfn.XMATCH(MID(CELL("filename",$A$1),FIND("]",CELL("filename",$A$1))+1,31)&amp;$F$1,採点基準_観点別!$F$3:$F$1000)),"B",IF(AD21&lt;=INDEX(採点基準_観点別!$E$3:$E$1000,_xlfn.XMATCH(MID(CELL("filename",$A$1),FIND("]",CELL("filename",$A$1))+1,31)&amp;$F$1,採点基準_観点別!$F$3:$F$1000)),"C","採点基準が不正です"))))</f>
        <v/>
      </c>
      <c r="AF21" s="51"/>
    </row>
    <row r="22" spans="1:32" x14ac:dyDescent="0.4">
      <c r="A22" s="62">
        <v>14</v>
      </c>
      <c r="B22" s="62" t="s">
        <v>2</v>
      </c>
      <c r="C22" s="31"/>
      <c r="D22" s="31"/>
      <c r="E22" s="31"/>
      <c r="F22" s="31"/>
      <c r="G22" s="31"/>
      <c r="H22" s="31"/>
      <c r="I22" s="31" t="str">
        <f t="shared" si="0"/>
        <v>未入力</v>
      </c>
      <c r="J22" s="31" t="str">
        <f t="shared" si="1"/>
        <v/>
      </c>
      <c r="K22" s="31" t="str" cm="1">
        <f t="array" aca="1" ref="K22" ca="1">IF(J22 = "","",IF(J22&gt;=INDEX(採点基準_観点別!$C$3:$C$1000,_xlfn.XMATCH(MID(CELL("filename",$A$1),FIND("]",CELL("filename",$A$1))+1,31)&amp;$F$1,採点基準_観点別!$F$3:$F$1000)),"A",IF(J22&gt;=INDEX(採点基準_観点別!$D$3:$D$1000,_xlfn.XMATCH(MID(CELL("filename",$A$1),FIND("]",CELL("filename",$A$1))+1,31)&amp;$F$1,採点基準_観点別!$F$3:$F$1000)),"B",IF(J22&lt;=INDEX(採点基準_観点別!$E$3:$E$1000,_xlfn.XMATCH(MID(CELL("filename",$A$1),FIND("]",CELL("filename",$A$1))+1,31)&amp;$F$1,採点基準_観点別!$F$3:$F$1000)),"C","採点基準が不正です"))))</f>
        <v/>
      </c>
      <c r="L22" s="31"/>
      <c r="M22" s="31"/>
      <c r="N22" s="31"/>
      <c r="O22" s="31"/>
      <c r="P22" s="31"/>
      <c r="Q22" s="31"/>
      <c r="R22" s="31"/>
      <c r="S22" s="31" t="str">
        <f t="shared" si="2"/>
        <v>未入力</v>
      </c>
      <c r="T22" s="31" t="str">
        <f t="shared" si="3"/>
        <v/>
      </c>
      <c r="U22" s="31" t="str" cm="1">
        <f t="array" aca="1" ref="U22" ca="1">IF(T22 = "","",IF(T22&gt;=INDEX(採点基準_観点別!$C$3:$C$1000,_xlfn.XMATCH(MID(CELL("filename",$A$1),FIND("]",CELL("filename",$A$1))+1,31)&amp;$F$1,採点基準_観点別!$F$3:$F$1000)),"A",IF(T22&gt;=INDEX(採点基準_観点別!$D$3:$D$1000,_xlfn.XMATCH(MID(CELL("filename",$A$1),FIND("]",CELL("filename",$A$1))+1,31)&amp;$F$1,採点基準_観点別!$F$3:$F$1000)),"B",IF(T22&lt;=INDEX(採点基準_観点別!$E$3:$E$1000,_xlfn.XMATCH(MID(CELL("filename",$A$1),FIND("]",CELL("filename",$A$1))+1,31)&amp;$F$1,採点基準_観点別!$F$3:$F$1000)),"C","採点基準が不正です"))))</f>
        <v/>
      </c>
      <c r="V22" s="31"/>
      <c r="W22" s="31"/>
      <c r="X22" s="31"/>
      <c r="Y22" s="31"/>
      <c r="Z22" s="31"/>
      <c r="AA22" s="31"/>
      <c r="AB22" s="31"/>
      <c r="AC22" s="31" t="str">
        <f t="shared" si="4"/>
        <v>未入力</v>
      </c>
      <c r="AD22" s="31" t="str">
        <f t="shared" si="5"/>
        <v/>
      </c>
      <c r="AE22" s="31" t="str" cm="1">
        <f t="array" aca="1" ref="AE22" ca="1">IF(AD22 = "","",IF(AD22&gt;=INDEX(採点基準_観点別!$C$3:$C$1000,_xlfn.XMATCH(MID(CELL("filename",$A$1),FIND("]",CELL("filename",$A$1))+1,31)&amp;$F$1,採点基準_観点別!$F$3:$F$1000)),"A",IF(AD22&gt;=INDEX(採点基準_観点別!$D$3:$D$1000,_xlfn.XMATCH(MID(CELL("filename",$A$1),FIND("]",CELL("filename",$A$1))+1,31)&amp;$F$1,採点基準_観点別!$F$3:$F$1000)),"B",IF(AD22&lt;=INDEX(採点基準_観点別!$E$3:$E$1000,_xlfn.XMATCH(MID(CELL("filename",$A$1),FIND("]",CELL("filename",$A$1))+1,31)&amp;$F$1,採点基準_観点別!$F$3:$F$1000)),"C","採点基準が不正です"))))</f>
        <v/>
      </c>
      <c r="AF22" s="50"/>
    </row>
    <row r="23" spans="1:32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 t="str">
        <f t="shared" si="0"/>
        <v>未入力</v>
      </c>
      <c r="J23" s="42" t="str">
        <f t="shared" si="1"/>
        <v/>
      </c>
      <c r="K23" s="42" t="str" cm="1">
        <f t="array" aca="1" ref="K23" ca="1">IF(J23 = "","",IF(J23&gt;=INDEX(採点基準_観点別!$C$3:$C$1000,_xlfn.XMATCH(MID(CELL("filename",$A$1),FIND("]",CELL("filename",$A$1))+1,31)&amp;$F$1,採点基準_観点別!$F$3:$F$1000)),"A",IF(J23&gt;=INDEX(採点基準_観点別!$D$3:$D$1000,_xlfn.XMATCH(MID(CELL("filename",$A$1),FIND("]",CELL("filename",$A$1))+1,31)&amp;$F$1,採点基準_観点別!$F$3:$F$1000)),"B",IF(J23&lt;=INDEX(採点基準_観点別!$E$3:$E$1000,_xlfn.XMATCH(MID(CELL("filename",$A$1),FIND("]",CELL("filename",$A$1))+1,31)&amp;$F$1,採点基準_観点別!$F$3:$F$1000)),"C","採点基準が不正です"))))</f>
        <v/>
      </c>
      <c r="L23" s="42"/>
      <c r="M23" s="42"/>
      <c r="N23" s="42"/>
      <c r="O23" s="42"/>
      <c r="P23" s="42"/>
      <c r="Q23" s="42"/>
      <c r="R23" s="42"/>
      <c r="S23" s="42" t="str">
        <f t="shared" si="2"/>
        <v>未入力</v>
      </c>
      <c r="T23" s="42" t="str">
        <f t="shared" si="3"/>
        <v/>
      </c>
      <c r="U23" s="42" t="str" cm="1">
        <f t="array" aca="1" ref="U23" ca="1">IF(T23 = "","",IF(T23&gt;=INDEX(採点基準_観点別!$C$3:$C$1000,_xlfn.XMATCH(MID(CELL("filename",$A$1),FIND("]",CELL("filename",$A$1))+1,31)&amp;$F$1,採点基準_観点別!$F$3:$F$1000)),"A",IF(T23&gt;=INDEX(採点基準_観点別!$D$3:$D$1000,_xlfn.XMATCH(MID(CELL("filename",$A$1),FIND("]",CELL("filename",$A$1))+1,31)&amp;$F$1,採点基準_観点別!$F$3:$F$1000)),"B",IF(T23&lt;=INDEX(採点基準_観点別!$E$3:$E$1000,_xlfn.XMATCH(MID(CELL("filename",$A$1),FIND("]",CELL("filename",$A$1))+1,31)&amp;$F$1,採点基準_観点別!$F$3:$F$1000)),"C","採点基準が不正です"))))</f>
        <v/>
      </c>
      <c r="V23" s="42"/>
      <c r="W23" s="42"/>
      <c r="X23" s="42"/>
      <c r="Y23" s="42"/>
      <c r="Z23" s="42"/>
      <c r="AA23" s="42"/>
      <c r="AB23" s="42"/>
      <c r="AC23" s="42" t="str">
        <f t="shared" si="4"/>
        <v>未入力</v>
      </c>
      <c r="AD23" s="42" t="str">
        <f t="shared" si="5"/>
        <v/>
      </c>
      <c r="AE23" s="42" t="str" cm="1">
        <f t="array" aca="1" ref="AE23" ca="1">IF(AD23 = "","",IF(AD23&gt;=INDEX(採点基準_観点別!$C$3:$C$1000,_xlfn.XMATCH(MID(CELL("filename",$A$1),FIND("]",CELL("filename",$A$1))+1,31)&amp;$F$1,採点基準_観点別!$F$3:$F$1000)),"A",IF(AD23&gt;=INDEX(採点基準_観点別!$D$3:$D$1000,_xlfn.XMATCH(MID(CELL("filename",$A$1),FIND("]",CELL("filename",$A$1))+1,31)&amp;$F$1,採点基準_観点別!$F$3:$F$1000)),"B",IF(AD23&lt;=INDEX(採点基準_観点別!$E$3:$E$1000,_xlfn.XMATCH(MID(CELL("filename",$A$1),FIND("]",CELL("filename",$A$1))+1,31)&amp;$F$1,採点基準_観点別!$F$3:$F$1000)),"C","採点基準が不正です"))))</f>
        <v/>
      </c>
      <c r="AF23" s="51"/>
    </row>
    <row r="24" spans="1:32" x14ac:dyDescent="0.4">
      <c r="A24" s="62">
        <v>14</v>
      </c>
      <c r="B24" s="62" t="s">
        <v>2</v>
      </c>
      <c r="C24" s="31"/>
      <c r="D24" s="31"/>
      <c r="E24" s="31"/>
      <c r="F24" s="31"/>
      <c r="G24" s="31"/>
      <c r="H24" s="31"/>
      <c r="I24" s="31" t="str">
        <f t="shared" si="0"/>
        <v>未入力</v>
      </c>
      <c r="J24" s="31" t="str">
        <f t="shared" si="1"/>
        <v/>
      </c>
      <c r="K24" s="31" t="str" cm="1">
        <f t="array" aca="1" ref="K24" ca="1">IF(J24 = "","",IF(J24&gt;=INDEX(採点基準_観点別!$C$3:$C$1000,_xlfn.XMATCH(MID(CELL("filename",$A$1),FIND("]",CELL("filename",$A$1))+1,31)&amp;$F$1,採点基準_観点別!$F$3:$F$1000)),"A",IF(J24&gt;=INDEX(採点基準_観点別!$D$3:$D$1000,_xlfn.XMATCH(MID(CELL("filename",$A$1),FIND("]",CELL("filename",$A$1))+1,31)&amp;$F$1,採点基準_観点別!$F$3:$F$1000)),"B",IF(J24&lt;=INDEX(採点基準_観点別!$E$3:$E$1000,_xlfn.XMATCH(MID(CELL("filename",$A$1),FIND("]",CELL("filename",$A$1))+1,31)&amp;$F$1,採点基準_観点別!$F$3:$F$1000)),"C","採点基準が不正です"))))</f>
        <v/>
      </c>
      <c r="L24" s="31"/>
      <c r="M24" s="31"/>
      <c r="N24" s="31"/>
      <c r="O24" s="31"/>
      <c r="P24" s="31"/>
      <c r="Q24" s="31"/>
      <c r="R24" s="31"/>
      <c r="S24" s="31" t="str">
        <f t="shared" si="2"/>
        <v>未入力</v>
      </c>
      <c r="T24" s="31" t="str">
        <f t="shared" si="3"/>
        <v/>
      </c>
      <c r="U24" s="31" t="str" cm="1">
        <f t="array" aca="1" ref="U24" ca="1">IF(T24 = "","",IF(T24&gt;=INDEX(採点基準_観点別!$C$3:$C$1000,_xlfn.XMATCH(MID(CELL("filename",$A$1),FIND("]",CELL("filename",$A$1))+1,31)&amp;$F$1,採点基準_観点別!$F$3:$F$1000)),"A",IF(T24&gt;=INDEX(採点基準_観点別!$D$3:$D$1000,_xlfn.XMATCH(MID(CELL("filename",$A$1),FIND("]",CELL("filename",$A$1))+1,31)&amp;$F$1,採点基準_観点別!$F$3:$F$1000)),"B",IF(T24&lt;=INDEX(採点基準_観点別!$E$3:$E$1000,_xlfn.XMATCH(MID(CELL("filename",$A$1),FIND("]",CELL("filename",$A$1))+1,31)&amp;$F$1,採点基準_観点別!$F$3:$F$1000)),"C","採点基準が不正です"))))</f>
        <v/>
      </c>
      <c r="V24" s="31"/>
      <c r="W24" s="31"/>
      <c r="X24" s="31"/>
      <c r="Y24" s="31"/>
      <c r="Z24" s="31"/>
      <c r="AA24" s="31"/>
      <c r="AB24" s="31"/>
      <c r="AC24" s="31" t="str">
        <f t="shared" si="4"/>
        <v>未入力</v>
      </c>
      <c r="AD24" s="31" t="str">
        <f t="shared" si="5"/>
        <v/>
      </c>
      <c r="AE24" s="31" t="str" cm="1">
        <f t="array" aca="1" ref="AE24" ca="1">IF(AD24 = "","",IF(AD24&gt;=INDEX(採点基準_観点別!$C$3:$C$1000,_xlfn.XMATCH(MID(CELL("filename",$A$1),FIND("]",CELL("filename",$A$1))+1,31)&amp;$F$1,採点基準_観点別!$F$3:$F$1000)),"A",IF(AD24&gt;=INDEX(採点基準_観点別!$D$3:$D$1000,_xlfn.XMATCH(MID(CELL("filename",$A$1),FIND("]",CELL("filename",$A$1))+1,31)&amp;$F$1,採点基準_観点別!$F$3:$F$1000)),"B",IF(AD24&lt;=INDEX(採点基準_観点別!$E$3:$E$1000,_xlfn.XMATCH(MID(CELL("filename",$A$1),FIND("]",CELL("filename",$A$1))+1,31)&amp;$F$1,採点基準_観点別!$F$3:$F$1000)),"C","採点基準が不正です"))))</f>
        <v/>
      </c>
      <c r="AF24" s="50"/>
    </row>
    <row r="25" spans="1:32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 t="str">
        <f t="shared" si="0"/>
        <v>未入力</v>
      </c>
      <c r="J25" s="42" t="str">
        <f t="shared" si="1"/>
        <v/>
      </c>
      <c r="K25" s="42" t="str" cm="1">
        <f t="array" aca="1" ref="K25" ca="1">IF(J25 = "","",IF(J25&gt;=INDEX(採点基準_観点別!$C$3:$C$1000,_xlfn.XMATCH(MID(CELL("filename",$A$1),FIND("]",CELL("filename",$A$1))+1,31)&amp;$F$1,採点基準_観点別!$F$3:$F$1000)),"A",IF(J25&gt;=INDEX(採点基準_観点別!$D$3:$D$1000,_xlfn.XMATCH(MID(CELL("filename",$A$1),FIND("]",CELL("filename",$A$1))+1,31)&amp;$F$1,採点基準_観点別!$F$3:$F$1000)),"B",IF(J25&lt;=INDEX(採点基準_観点別!$E$3:$E$1000,_xlfn.XMATCH(MID(CELL("filename",$A$1),FIND("]",CELL("filename",$A$1))+1,31)&amp;$F$1,採点基準_観点別!$F$3:$F$1000)),"C","採点基準が不正です"))))</f>
        <v/>
      </c>
      <c r="L25" s="42"/>
      <c r="M25" s="42"/>
      <c r="N25" s="42"/>
      <c r="O25" s="42"/>
      <c r="P25" s="42"/>
      <c r="Q25" s="42"/>
      <c r="R25" s="42"/>
      <c r="S25" s="42" t="str">
        <f t="shared" si="2"/>
        <v>未入力</v>
      </c>
      <c r="T25" s="42" t="str">
        <f t="shared" si="3"/>
        <v/>
      </c>
      <c r="U25" s="42" t="str" cm="1">
        <f t="array" aca="1" ref="U25" ca="1">IF(T25 = "","",IF(T25&gt;=INDEX(採点基準_観点別!$C$3:$C$1000,_xlfn.XMATCH(MID(CELL("filename",$A$1),FIND("]",CELL("filename",$A$1))+1,31)&amp;$F$1,採点基準_観点別!$F$3:$F$1000)),"A",IF(T25&gt;=INDEX(採点基準_観点別!$D$3:$D$1000,_xlfn.XMATCH(MID(CELL("filename",$A$1),FIND("]",CELL("filename",$A$1))+1,31)&amp;$F$1,採点基準_観点別!$F$3:$F$1000)),"B",IF(T25&lt;=INDEX(採点基準_観点別!$E$3:$E$1000,_xlfn.XMATCH(MID(CELL("filename",$A$1),FIND("]",CELL("filename",$A$1))+1,31)&amp;$F$1,採点基準_観点別!$F$3:$F$1000)),"C","採点基準が不正です"))))</f>
        <v/>
      </c>
      <c r="V25" s="42"/>
      <c r="W25" s="42"/>
      <c r="X25" s="42"/>
      <c r="Y25" s="42"/>
      <c r="Z25" s="42"/>
      <c r="AA25" s="42"/>
      <c r="AB25" s="42"/>
      <c r="AC25" s="42" t="str">
        <f t="shared" si="4"/>
        <v>未入力</v>
      </c>
      <c r="AD25" s="42" t="str">
        <f t="shared" si="5"/>
        <v/>
      </c>
      <c r="AE25" s="42" t="str" cm="1">
        <f t="array" aca="1" ref="AE25" ca="1">IF(AD25 = "","",IF(AD25&gt;=INDEX(採点基準_観点別!$C$3:$C$1000,_xlfn.XMATCH(MID(CELL("filename",$A$1),FIND("]",CELL("filename",$A$1))+1,31)&amp;$F$1,採点基準_観点別!$F$3:$F$1000)),"A",IF(AD25&gt;=INDEX(採点基準_観点別!$D$3:$D$1000,_xlfn.XMATCH(MID(CELL("filename",$A$1),FIND("]",CELL("filename",$A$1))+1,31)&amp;$F$1,採点基準_観点別!$F$3:$F$1000)),"B",IF(AD25&lt;=INDEX(採点基準_観点別!$E$3:$E$1000,_xlfn.XMATCH(MID(CELL("filename",$A$1),FIND("]",CELL("filename",$A$1))+1,31)&amp;$F$1,採点基準_観点別!$F$3:$F$1000)),"C","採点基準が不正です"))))</f>
        <v/>
      </c>
      <c r="AF25" s="51"/>
    </row>
    <row r="26" spans="1:32" x14ac:dyDescent="0.4">
      <c r="A26" s="62">
        <v>14</v>
      </c>
      <c r="B26" s="62" t="s">
        <v>2</v>
      </c>
      <c r="C26" s="31"/>
      <c r="D26" s="31"/>
      <c r="E26" s="31"/>
      <c r="F26" s="31"/>
      <c r="G26" s="31"/>
      <c r="H26" s="31"/>
      <c r="I26" s="31" t="str">
        <f t="shared" si="0"/>
        <v>未入力</v>
      </c>
      <c r="J26" s="31" t="str">
        <f t="shared" si="1"/>
        <v/>
      </c>
      <c r="K26" s="31" t="str" cm="1">
        <f t="array" aca="1" ref="K26" ca="1">IF(J26 = "","",IF(J26&gt;=INDEX(採点基準_観点別!$C$3:$C$1000,_xlfn.XMATCH(MID(CELL("filename",$A$1),FIND("]",CELL("filename",$A$1))+1,31)&amp;$F$1,採点基準_観点別!$F$3:$F$1000)),"A",IF(J26&gt;=INDEX(採点基準_観点別!$D$3:$D$1000,_xlfn.XMATCH(MID(CELL("filename",$A$1),FIND("]",CELL("filename",$A$1))+1,31)&amp;$F$1,採点基準_観点別!$F$3:$F$1000)),"B",IF(J26&lt;=INDEX(採点基準_観点別!$E$3:$E$1000,_xlfn.XMATCH(MID(CELL("filename",$A$1),FIND("]",CELL("filename",$A$1))+1,31)&amp;$F$1,採点基準_観点別!$F$3:$F$1000)),"C","採点基準が不正です"))))</f>
        <v/>
      </c>
      <c r="L26" s="31"/>
      <c r="M26" s="31"/>
      <c r="N26" s="31"/>
      <c r="O26" s="31"/>
      <c r="P26" s="31"/>
      <c r="Q26" s="31"/>
      <c r="R26" s="31"/>
      <c r="S26" s="31" t="str">
        <f t="shared" si="2"/>
        <v>未入力</v>
      </c>
      <c r="T26" s="31" t="str">
        <f t="shared" si="3"/>
        <v/>
      </c>
      <c r="U26" s="31" t="str" cm="1">
        <f t="array" aca="1" ref="U26" ca="1">IF(T26 = "","",IF(T26&gt;=INDEX(採点基準_観点別!$C$3:$C$1000,_xlfn.XMATCH(MID(CELL("filename",$A$1),FIND("]",CELL("filename",$A$1))+1,31)&amp;$F$1,採点基準_観点別!$F$3:$F$1000)),"A",IF(T26&gt;=INDEX(採点基準_観点別!$D$3:$D$1000,_xlfn.XMATCH(MID(CELL("filename",$A$1),FIND("]",CELL("filename",$A$1))+1,31)&amp;$F$1,採点基準_観点別!$F$3:$F$1000)),"B",IF(T26&lt;=INDEX(採点基準_観点別!$E$3:$E$1000,_xlfn.XMATCH(MID(CELL("filename",$A$1),FIND("]",CELL("filename",$A$1))+1,31)&amp;$F$1,採点基準_観点別!$F$3:$F$1000)),"C","採点基準が不正です"))))</f>
        <v/>
      </c>
      <c r="V26" s="31"/>
      <c r="W26" s="31"/>
      <c r="X26" s="31"/>
      <c r="Y26" s="31"/>
      <c r="Z26" s="31"/>
      <c r="AA26" s="31"/>
      <c r="AB26" s="31"/>
      <c r="AC26" s="31" t="str">
        <f t="shared" si="4"/>
        <v>未入力</v>
      </c>
      <c r="AD26" s="31" t="str">
        <f t="shared" si="5"/>
        <v/>
      </c>
      <c r="AE26" s="31" t="str" cm="1">
        <f t="array" aca="1" ref="AE26" ca="1">IF(AD26 = "","",IF(AD26&gt;=INDEX(採点基準_観点別!$C$3:$C$1000,_xlfn.XMATCH(MID(CELL("filename",$A$1),FIND("]",CELL("filename",$A$1))+1,31)&amp;$F$1,採点基準_観点別!$F$3:$F$1000)),"A",IF(AD26&gt;=INDEX(採点基準_観点別!$D$3:$D$1000,_xlfn.XMATCH(MID(CELL("filename",$A$1),FIND("]",CELL("filename",$A$1))+1,31)&amp;$F$1,採点基準_観点別!$F$3:$F$1000)),"B",IF(AD26&lt;=INDEX(採点基準_観点別!$E$3:$E$1000,_xlfn.XMATCH(MID(CELL("filename",$A$1),FIND("]",CELL("filename",$A$1))+1,31)&amp;$F$1,採点基準_観点別!$F$3:$F$1000)),"C","採点基準が不正です"))))</f>
        <v/>
      </c>
      <c r="AF26" s="50"/>
    </row>
    <row r="27" spans="1:32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 t="str">
        <f t="shared" si="0"/>
        <v>未入力</v>
      </c>
      <c r="J27" s="42" t="str">
        <f t="shared" si="1"/>
        <v/>
      </c>
      <c r="K27" s="42" t="str" cm="1">
        <f t="array" aca="1" ref="K27" ca="1">IF(J27 = "","",IF(J27&gt;=INDEX(採点基準_観点別!$C$3:$C$1000,_xlfn.XMATCH(MID(CELL("filename",$A$1),FIND("]",CELL("filename",$A$1))+1,31)&amp;$F$1,採点基準_観点別!$F$3:$F$1000)),"A",IF(J27&gt;=INDEX(採点基準_観点別!$D$3:$D$1000,_xlfn.XMATCH(MID(CELL("filename",$A$1),FIND("]",CELL("filename",$A$1))+1,31)&amp;$F$1,採点基準_観点別!$F$3:$F$1000)),"B",IF(J27&lt;=INDEX(採点基準_観点別!$E$3:$E$1000,_xlfn.XMATCH(MID(CELL("filename",$A$1),FIND("]",CELL("filename",$A$1))+1,31)&amp;$F$1,採点基準_観点別!$F$3:$F$1000)),"C","採点基準が不正です"))))</f>
        <v/>
      </c>
      <c r="L27" s="42"/>
      <c r="M27" s="42"/>
      <c r="N27" s="42"/>
      <c r="O27" s="42"/>
      <c r="P27" s="42"/>
      <c r="Q27" s="42"/>
      <c r="R27" s="42"/>
      <c r="S27" s="42" t="str">
        <f t="shared" si="2"/>
        <v>未入力</v>
      </c>
      <c r="T27" s="42" t="str">
        <f t="shared" si="3"/>
        <v/>
      </c>
      <c r="U27" s="42" t="str" cm="1">
        <f t="array" aca="1" ref="U27" ca="1">IF(T27 = "","",IF(T27&gt;=INDEX(採点基準_観点別!$C$3:$C$1000,_xlfn.XMATCH(MID(CELL("filename",$A$1),FIND("]",CELL("filename",$A$1))+1,31)&amp;$F$1,採点基準_観点別!$F$3:$F$1000)),"A",IF(T27&gt;=INDEX(採点基準_観点別!$D$3:$D$1000,_xlfn.XMATCH(MID(CELL("filename",$A$1),FIND("]",CELL("filename",$A$1))+1,31)&amp;$F$1,採点基準_観点別!$F$3:$F$1000)),"B",IF(T27&lt;=INDEX(採点基準_観点別!$E$3:$E$1000,_xlfn.XMATCH(MID(CELL("filename",$A$1),FIND("]",CELL("filename",$A$1))+1,31)&amp;$F$1,採点基準_観点別!$F$3:$F$1000)),"C","採点基準が不正です"))))</f>
        <v/>
      </c>
      <c r="V27" s="42"/>
      <c r="W27" s="42"/>
      <c r="X27" s="42"/>
      <c r="Y27" s="42"/>
      <c r="Z27" s="42"/>
      <c r="AA27" s="42"/>
      <c r="AB27" s="42"/>
      <c r="AC27" s="42" t="str">
        <f t="shared" si="4"/>
        <v>未入力</v>
      </c>
      <c r="AD27" s="42" t="str">
        <f t="shared" si="5"/>
        <v/>
      </c>
      <c r="AE27" s="42" t="str" cm="1">
        <f t="array" aca="1" ref="AE27" ca="1">IF(AD27 = "","",IF(AD27&gt;=INDEX(採点基準_観点別!$C$3:$C$1000,_xlfn.XMATCH(MID(CELL("filename",$A$1),FIND("]",CELL("filename",$A$1))+1,31)&amp;$F$1,採点基準_観点別!$F$3:$F$1000)),"A",IF(AD27&gt;=INDEX(採点基準_観点別!$D$3:$D$1000,_xlfn.XMATCH(MID(CELL("filename",$A$1),FIND("]",CELL("filename",$A$1))+1,31)&amp;$F$1,採点基準_観点別!$F$3:$F$1000)),"B",IF(AD27&lt;=INDEX(採点基準_観点別!$E$3:$E$1000,_xlfn.XMATCH(MID(CELL("filename",$A$1),FIND("]",CELL("filename",$A$1))+1,31)&amp;$F$1,採点基準_観点別!$F$3:$F$1000)),"C","採点基準が不正です"))))</f>
        <v/>
      </c>
      <c r="AF27" s="51"/>
    </row>
    <row r="28" spans="1:32" x14ac:dyDescent="0.4">
      <c r="A28" s="62">
        <v>14</v>
      </c>
      <c r="B28" s="62" t="s">
        <v>2</v>
      </c>
      <c r="C28" s="31"/>
      <c r="D28" s="31"/>
      <c r="E28" s="31"/>
      <c r="F28" s="31"/>
      <c r="G28" s="31"/>
      <c r="H28" s="31"/>
      <c r="I28" s="31" t="str">
        <f t="shared" si="0"/>
        <v>未入力</v>
      </c>
      <c r="J28" s="31" t="str">
        <f t="shared" si="1"/>
        <v/>
      </c>
      <c r="K28" s="31" t="str" cm="1">
        <f t="array" aca="1" ref="K28" ca="1">IF(J28 = "","",IF(J28&gt;=INDEX(採点基準_観点別!$C$3:$C$1000,_xlfn.XMATCH(MID(CELL("filename",$A$1),FIND("]",CELL("filename",$A$1))+1,31)&amp;$F$1,採点基準_観点別!$F$3:$F$1000)),"A",IF(J28&gt;=INDEX(採点基準_観点別!$D$3:$D$1000,_xlfn.XMATCH(MID(CELL("filename",$A$1),FIND("]",CELL("filename",$A$1))+1,31)&amp;$F$1,採点基準_観点別!$F$3:$F$1000)),"B",IF(J28&lt;=INDEX(採点基準_観点別!$E$3:$E$1000,_xlfn.XMATCH(MID(CELL("filename",$A$1),FIND("]",CELL("filename",$A$1))+1,31)&amp;$F$1,採点基準_観点別!$F$3:$F$1000)),"C","採点基準が不正です"))))</f>
        <v/>
      </c>
      <c r="L28" s="31"/>
      <c r="M28" s="31"/>
      <c r="N28" s="31"/>
      <c r="O28" s="31"/>
      <c r="P28" s="31"/>
      <c r="Q28" s="31"/>
      <c r="R28" s="31"/>
      <c r="S28" s="31" t="str">
        <f t="shared" si="2"/>
        <v>未入力</v>
      </c>
      <c r="T28" s="31" t="str">
        <f t="shared" si="3"/>
        <v/>
      </c>
      <c r="U28" s="31" t="str" cm="1">
        <f t="array" aca="1" ref="U28" ca="1">IF(T28 = "","",IF(T28&gt;=INDEX(採点基準_観点別!$C$3:$C$1000,_xlfn.XMATCH(MID(CELL("filename",$A$1),FIND("]",CELL("filename",$A$1))+1,31)&amp;$F$1,採点基準_観点別!$F$3:$F$1000)),"A",IF(T28&gt;=INDEX(採点基準_観点別!$D$3:$D$1000,_xlfn.XMATCH(MID(CELL("filename",$A$1),FIND("]",CELL("filename",$A$1))+1,31)&amp;$F$1,採点基準_観点別!$F$3:$F$1000)),"B",IF(T28&lt;=INDEX(採点基準_観点別!$E$3:$E$1000,_xlfn.XMATCH(MID(CELL("filename",$A$1),FIND("]",CELL("filename",$A$1))+1,31)&amp;$F$1,採点基準_観点別!$F$3:$F$1000)),"C","採点基準が不正です"))))</f>
        <v/>
      </c>
      <c r="V28" s="31"/>
      <c r="W28" s="31"/>
      <c r="X28" s="31"/>
      <c r="Y28" s="31"/>
      <c r="Z28" s="31"/>
      <c r="AA28" s="31"/>
      <c r="AB28" s="31"/>
      <c r="AC28" s="31" t="str">
        <f t="shared" si="4"/>
        <v>未入力</v>
      </c>
      <c r="AD28" s="31" t="str">
        <f t="shared" si="5"/>
        <v/>
      </c>
      <c r="AE28" s="31" t="str" cm="1">
        <f t="array" aca="1" ref="AE28" ca="1">IF(AD28 = "","",IF(AD28&gt;=INDEX(採点基準_観点別!$C$3:$C$1000,_xlfn.XMATCH(MID(CELL("filename",$A$1),FIND("]",CELL("filename",$A$1))+1,31)&amp;$F$1,採点基準_観点別!$F$3:$F$1000)),"A",IF(AD28&gt;=INDEX(採点基準_観点別!$D$3:$D$1000,_xlfn.XMATCH(MID(CELL("filename",$A$1),FIND("]",CELL("filename",$A$1))+1,31)&amp;$F$1,採点基準_観点別!$F$3:$F$1000)),"B",IF(AD28&lt;=INDEX(採点基準_観点別!$E$3:$E$1000,_xlfn.XMATCH(MID(CELL("filename",$A$1),FIND("]",CELL("filename",$A$1))+1,31)&amp;$F$1,採点基準_観点別!$F$3:$F$1000)),"C","採点基準が不正です"))))</f>
        <v/>
      </c>
      <c r="AF28" s="50"/>
    </row>
    <row r="29" spans="1:32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 t="str">
        <f t="shared" si="0"/>
        <v>未入力</v>
      </c>
      <c r="J29" s="42" t="str">
        <f t="shared" si="1"/>
        <v/>
      </c>
      <c r="K29" s="42" t="str" cm="1">
        <f t="array" aca="1" ref="K29" ca="1">IF(J29 = "","",IF(J29&gt;=INDEX(採点基準_観点別!$C$3:$C$1000,_xlfn.XMATCH(MID(CELL("filename",$A$1),FIND("]",CELL("filename",$A$1))+1,31)&amp;$F$1,採点基準_観点別!$F$3:$F$1000)),"A",IF(J29&gt;=INDEX(採点基準_観点別!$D$3:$D$1000,_xlfn.XMATCH(MID(CELL("filename",$A$1),FIND("]",CELL("filename",$A$1))+1,31)&amp;$F$1,採点基準_観点別!$F$3:$F$1000)),"B",IF(J29&lt;=INDEX(採点基準_観点別!$E$3:$E$1000,_xlfn.XMATCH(MID(CELL("filename",$A$1),FIND("]",CELL("filename",$A$1))+1,31)&amp;$F$1,採点基準_観点別!$F$3:$F$1000)),"C","採点基準が不正です"))))</f>
        <v/>
      </c>
      <c r="L29" s="42"/>
      <c r="M29" s="42"/>
      <c r="N29" s="42"/>
      <c r="O29" s="42"/>
      <c r="P29" s="42"/>
      <c r="Q29" s="42"/>
      <c r="R29" s="42"/>
      <c r="S29" s="42" t="str">
        <f t="shared" si="2"/>
        <v>未入力</v>
      </c>
      <c r="T29" s="42" t="str">
        <f t="shared" si="3"/>
        <v/>
      </c>
      <c r="U29" s="42" t="str" cm="1">
        <f t="array" aca="1" ref="U29" ca="1">IF(T29 = "","",IF(T29&gt;=INDEX(採点基準_観点別!$C$3:$C$1000,_xlfn.XMATCH(MID(CELL("filename",$A$1),FIND("]",CELL("filename",$A$1))+1,31)&amp;$F$1,採点基準_観点別!$F$3:$F$1000)),"A",IF(T29&gt;=INDEX(採点基準_観点別!$D$3:$D$1000,_xlfn.XMATCH(MID(CELL("filename",$A$1),FIND("]",CELL("filename",$A$1))+1,31)&amp;$F$1,採点基準_観点別!$F$3:$F$1000)),"B",IF(T29&lt;=INDEX(採点基準_観点別!$E$3:$E$1000,_xlfn.XMATCH(MID(CELL("filename",$A$1),FIND("]",CELL("filename",$A$1))+1,31)&amp;$F$1,採点基準_観点別!$F$3:$F$1000)),"C","採点基準が不正です"))))</f>
        <v/>
      </c>
      <c r="V29" s="42"/>
      <c r="W29" s="42"/>
      <c r="X29" s="42"/>
      <c r="Y29" s="42"/>
      <c r="Z29" s="42"/>
      <c r="AA29" s="42"/>
      <c r="AB29" s="42"/>
      <c r="AC29" s="42" t="str">
        <f t="shared" si="4"/>
        <v>未入力</v>
      </c>
      <c r="AD29" s="42" t="str">
        <f t="shared" si="5"/>
        <v/>
      </c>
      <c r="AE29" s="42" t="str" cm="1">
        <f t="array" aca="1" ref="AE29" ca="1">IF(AD29 = "","",IF(AD29&gt;=INDEX(採点基準_観点別!$C$3:$C$1000,_xlfn.XMATCH(MID(CELL("filename",$A$1),FIND("]",CELL("filename",$A$1))+1,31)&amp;$F$1,採点基準_観点別!$F$3:$F$1000)),"A",IF(AD29&gt;=INDEX(採点基準_観点別!$D$3:$D$1000,_xlfn.XMATCH(MID(CELL("filename",$A$1),FIND("]",CELL("filename",$A$1))+1,31)&amp;$F$1,採点基準_観点別!$F$3:$F$1000)),"B",IF(AD29&lt;=INDEX(採点基準_観点別!$E$3:$E$1000,_xlfn.XMATCH(MID(CELL("filename",$A$1),FIND("]",CELL("filename",$A$1))+1,31)&amp;$F$1,採点基準_観点別!$F$3:$F$1000)),"C","採点基準が不正です"))))</f>
        <v/>
      </c>
      <c r="AF29" s="51"/>
    </row>
    <row r="30" spans="1:32" x14ac:dyDescent="0.4">
      <c r="A30" s="41"/>
      <c r="B30" s="62" t="s">
        <v>2</v>
      </c>
      <c r="C30" s="31"/>
      <c r="D30" s="31"/>
      <c r="E30" s="31"/>
      <c r="F30" s="31"/>
      <c r="G30" s="31"/>
      <c r="H30" s="31"/>
      <c r="I30" s="31" t="str">
        <f t="shared" si="0"/>
        <v>未入力</v>
      </c>
      <c r="J30" s="31" t="str">
        <f t="shared" si="1"/>
        <v/>
      </c>
      <c r="K30" s="31" t="str" cm="1">
        <f t="array" aca="1" ref="K30" ca="1">IF(J30 = "","",IF(J30&gt;=INDEX(採点基準_観点別!$C$3:$C$1000,_xlfn.XMATCH(MID(CELL("filename",$A$1),FIND("]",CELL("filename",$A$1))+1,31)&amp;$F$1,採点基準_観点別!$F$3:$F$1000)),"A",IF(J30&gt;=INDEX(採点基準_観点別!$D$3:$D$1000,_xlfn.XMATCH(MID(CELL("filename",$A$1),FIND("]",CELL("filename",$A$1))+1,31)&amp;$F$1,採点基準_観点別!$F$3:$F$1000)),"B",IF(J30&lt;=INDEX(採点基準_観点別!$E$3:$E$1000,_xlfn.XMATCH(MID(CELL("filename",$A$1),FIND("]",CELL("filename",$A$1))+1,31)&amp;$F$1,採点基準_観点別!$F$3:$F$1000)),"C","採点基準が不正です"))))</f>
        <v/>
      </c>
      <c r="L30" s="31"/>
      <c r="M30" s="31"/>
      <c r="N30" s="31"/>
      <c r="O30" s="31"/>
      <c r="P30" s="31"/>
      <c r="Q30" s="31"/>
      <c r="R30" s="31"/>
      <c r="S30" s="31" t="str">
        <f t="shared" si="2"/>
        <v>未入力</v>
      </c>
      <c r="T30" s="31" t="str">
        <f t="shared" si="3"/>
        <v/>
      </c>
      <c r="U30" s="31" t="str" cm="1">
        <f t="array" aca="1" ref="U30" ca="1">IF(T30 = "","",IF(T30&gt;=INDEX(採点基準_観点別!$C$3:$C$1000,_xlfn.XMATCH(MID(CELL("filename",$A$1),FIND("]",CELL("filename",$A$1))+1,31)&amp;$F$1,採点基準_観点別!$F$3:$F$1000)),"A",IF(T30&gt;=INDEX(採点基準_観点別!$D$3:$D$1000,_xlfn.XMATCH(MID(CELL("filename",$A$1),FIND("]",CELL("filename",$A$1))+1,31)&amp;$F$1,採点基準_観点別!$F$3:$F$1000)),"B",IF(T30&lt;=INDEX(採点基準_観点別!$E$3:$E$1000,_xlfn.XMATCH(MID(CELL("filename",$A$1),FIND("]",CELL("filename",$A$1))+1,31)&amp;$F$1,採点基準_観点別!$F$3:$F$1000)),"C","採点基準が不正です"))))</f>
        <v/>
      </c>
      <c r="V30" s="31"/>
      <c r="W30" s="31"/>
      <c r="X30" s="31"/>
      <c r="Y30" s="31"/>
      <c r="Z30" s="31"/>
      <c r="AA30" s="31"/>
      <c r="AB30" s="31"/>
      <c r="AC30" s="31" t="str">
        <f t="shared" si="4"/>
        <v>未入力</v>
      </c>
      <c r="AD30" s="31" t="str">
        <f t="shared" si="5"/>
        <v/>
      </c>
      <c r="AE30" s="31" t="str" cm="1">
        <f t="array" aca="1" ref="AE30" ca="1">IF(AD30 = "","",IF(AD30&gt;=INDEX(採点基準_観点別!$C$3:$C$1000,_xlfn.XMATCH(MID(CELL("filename",$A$1),FIND("]",CELL("filename",$A$1))+1,31)&amp;$F$1,採点基準_観点別!$F$3:$F$1000)),"A",IF(AD30&gt;=INDEX(採点基準_観点別!$D$3:$D$1000,_xlfn.XMATCH(MID(CELL("filename",$A$1),FIND("]",CELL("filename",$A$1))+1,31)&amp;$F$1,採点基準_観点別!$F$3:$F$1000)),"B",IF(AD30&lt;=INDEX(採点基準_観点別!$E$3:$E$1000,_xlfn.XMATCH(MID(CELL("filename",$A$1),FIND("]",CELL("filename",$A$1))+1,31)&amp;$F$1,採点基準_観点別!$F$3:$F$1000)),"C","採点基準が不正です"))))</f>
        <v/>
      </c>
      <c r="AF30" s="50"/>
    </row>
    <row r="31" spans="1:32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 t="str">
        <f t="shared" si="0"/>
        <v>未入力</v>
      </c>
      <c r="J31" s="42" t="str">
        <f t="shared" si="1"/>
        <v/>
      </c>
      <c r="K31" s="42" t="str" cm="1">
        <f t="array" aca="1" ref="K31" ca="1">IF(J31 = "","",IF(J31&gt;=INDEX(採点基準_観点別!$C$3:$C$1000,_xlfn.XMATCH(MID(CELL("filename",$A$1),FIND("]",CELL("filename",$A$1))+1,31)&amp;$F$1,採点基準_観点別!$F$3:$F$1000)),"A",IF(J31&gt;=INDEX(採点基準_観点別!$D$3:$D$1000,_xlfn.XMATCH(MID(CELL("filename",$A$1),FIND("]",CELL("filename",$A$1))+1,31)&amp;$F$1,採点基準_観点別!$F$3:$F$1000)),"B",IF(J31&lt;=INDEX(採点基準_観点別!$E$3:$E$1000,_xlfn.XMATCH(MID(CELL("filename",$A$1),FIND("]",CELL("filename",$A$1))+1,31)&amp;$F$1,採点基準_観点別!$F$3:$F$1000)),"C","採点基準が不正です"))))</f>
        <v/>
      </c>
      <c r="L31" s="42"/>
      <c r="M31" s="42"/>
      <c r="N31" s="42"/>
      <c r="O31" s="42"/>
      <c r="P31" s="42"/>
      <c r="Q31" s="42"/>
      <c r="R31" s="42"/>
      <c r="S31" s="42" t="str">
        <f t="shared" si="2"/>
        <v>未入力</v>
      </c>
      <c r="T31" s="42" t="str">
        <f t="shared" si="3"/>
        <v/>
      </c>
      <c r="U31" s="42" t="str" cm="1">
        <f t="array" aca="1" ref="U31" ca="1">IF(T31 = "","",IF(T31&gt;=INDEX(採点基準_観点別!$C$3:$C$1000,_xlfn.XMATCH(MID(CELL("filename",$A$1),FIND("]",CELL("filename",$A$1))+1,31)&amp;$F$1,採点基準_観点別!$F$3:$F$1000)),"A",IF(T31&gt;=INDEX(採点基準_観点別!$D$3:$D$1000,_xlfn.XMATCH(MID(CELL("filename",$A$1),FIND("]",CELL("filename",$A$1))+1,31)&amp;$F$1,採点基準_観点別!$F$3:$F$1000)),"B",IF(T31&lt;=INDEX(採点基準_観点別!$E$3:$E$1000,_xlfn.XMATCH(MID(CELL("filename",$A$1),FIND("]",CELL("filename",$A$1))+1,31)&amp;$F$1,採点基準_観点別!$F$3:$F$1000)),"C","採点基準が不正です"))))</f>
        <v/>
      </c>
      <c r="V31" s="42"/>
      <c r="W31" s="42"/>
      <c r="X31" s="42"/>
      <c r="Y31" s="42"/>
      <c r="Z31" s="42"/>
      <c r="AA31" s="42"/>
      <c r="AB31" s="42"/>
      <c r="AC31" s="42" t="str">
        <f t="shared" si="4"/>
        <v>未入力</v>
      </c>
      <c r="AD31" s="42" t="str">
        <f t="shared" si="5"/>
        <v/>
      </c>
      <c r="AE31" s="42" t="str" cm="1">
        <f t="array" aca="1" ref="AE31" ca="1">IF(AD31 = "","",IF(AD31&gt;=INDEX(採点基準_観点別!$C$3:$C$1000,_xlfn.XMATCH(MID(CELL("filename",$A$1),FIND("]",CELL("filename",$A$1))+1,31)&amp;$F$1,採点基準_観点別!$F$3:$F$1000)),"A",IF(AD31&gt;=INDEX(採点基準_観点別!$D$3:$D$1000,_xlfn.XMATCH(MID(CELL("filename",$A$1),FIND("]",CELL("filename",$A$1))+1,31)&amp;$F$1,採点基準_観点別!$F$3:$F$1000)),"B",IF(AD31&lt;=INDEX(採点基準_観点別!$E$3:$E$1000,_xlfn.XMATCH(MID(CELL("filename",$A$1),FIND("]",CELL("filename",$A$1))+1,31)&amp;$F$1,採点基準_観点別!$F$3:$F$1000)),"C","採点基準が不正です"))))</f>
        <v/>
      </c>
      <c r="AF31" s="51"/>
    </row>
    <row r="32" spans="1:32" x14ac:dyDescent="0.4">
      <c r="A32" s="62">
        <v>14</v>
      </c>
      <c r="B32" s="62" t="s">
        <v>2</v>
      </c>
      <c r="C32" s="31"/>
      <c r="D32" s="31"/>
      <c r="E32" s="31"/>
      <c r="F32" s="31"/>
      <c r="G32" s="31"/>
      <c r="H32" s="31"/>
      <c r="I32" s="31" t="str">
        <f t="shared" si="0"/>
        <v>未入力</v>
      </c>
      <c r="J32" s="31" t="str">
        <f t="shared" si="1"/>
        <v/>
      </c>
      <c r="K32" s="31" t="str" cm="1">
        <f t="array" aca="1" ref="K32" ca="1">IF(J32 = "","",IF(J32&gt;=INDEX(採点基準_観点別!$C$3:$C$1000,_xlfn.XMATCH(MID(CELL("filename",$A$1),FIND("]",CELL("filename",$A$1))+1,31)&amp;$F$1,採点基準_観点別!$F$3:$F$1000)),"A",IF(J32&gt;=INDEX(採点基準_観点別!$D$3:$D$1000,_xlfn.XMATCH(MID(CELL("filename",$A$1),FIND("]",CELL("filename",$A$1))+1,31)&amp;$F$1,採点基準_観点別!$F$3:$F$1000)),"B",IF(J32&lt;=INDEX(採点基準_観点別!$E$3:$E$1000,_xlfn.XMATCH(MID(CELL("filename",$A$1),FIND("]",CELL("filename",$A$1))+1,31)&amp;$F$1,採点基準_観点別!$F$3:$F$1000)),"C","採点基準が不正です"))))</f>
        <v/>
      </c>
      <c r="L32" s="31"/>
      <c r="M32" s="31"/>
      <c r="N32" s="31"/>
      <c r="O32" s="31"/>
      <c r="P32" s="31"/>
      <c r="Q32" s="31"/>
      <c r="R32" s="31"/>
      <c r="S32" s="31" t="str">
        <f t="shared" si="2"/>
        <v>未入力</v>
      </c>
      <c r="T32" s="31" t="str">
        <f t="shared" si="3"/>
        <v/>
      </c>
      <c r="U32" s="31" t="str" cm="1">
        <f t="array" aca="1" ref="U32" ca="1">IF(T32 = "","",IF(T32&gt;=INDEX(採点基準_観点別!$C$3:$C$1000,_xlfn.XMATCH(MID(CELL("filename",$A$1),FIND("]",CELL("filename",$A$1))+1,31)&amp;$F$1,採点基準_観点別!$F$3:$F$1000)),"A",IF(T32&gt;=INDEX(採点基準_観点別!$D$3:$D$1000,_xlfn.XMATCH(MID(CELL("filename",$A$1),FIND("]",CELL("filename",$A$1))+1,31)&amp;$F$1,採点基準_観点別!$F$3:$F$1000)),"B",IF(T32&lt;=INDEX(採点基準_観点別!$E$3:$E$1000,_xlfn.XMATCH(MID(CELL("filename",$A$1),FIND("]",CELL("filename",$A$1))+1,31)&amp;$F$1,採点基準_観点別!$F$3:$F$1000)),"C","採点基準が不正です"))))</f>
        <v/>
      </c>
      <c r="V32" s="31"/>
      <c r="W32" s="31"/>
      <c r="X32" s="31"/>
      <c r="Y32" s="31"/>
      <c r="Z32" s="31"/>
      <c r="AA32" s="31"/>
      <c r="AB32" s="31"/>
      <c r="AC32" s="31" t="str">
        <f t="shared" si="4"/>
        <v>未入力</v>
      </c>
      <c r="AD32" s="31" t="str">
        <f t="shared" si="5"/>
        <v/>
      </c>
      <c r="AE32" s="31" t="str" cm="1">
        <f t="array" aca="1" ref="AE32" ca="1">IF(AD32 = "","",IF(AD32&gt;=INDEX(採点基準_観点別!$C$3:$C$1000,_xlfn.XMATCH(MID(CELL("filename",$A$1),FIND("]",CELL("filename",$A$1))+1,31)&amp;$F$1,採点基準_観点別!$F$3:$F$1000)),"A",IF(AD32&gt;=INDEX(採点基準_観点別!$D$3:$D$1000,_xlfn.XMATCH(MID(CELL("filename",$A$1),FIND("]",CELL("filename",$A$1))+1,31)&amp;$F$1,採点基準_観点別!$F$3:$F$1000)),"B",IF(AD32&lt;=INDEX(採点基準_観点別!$E$3:$E$1000,_xlfn.XMATCH(MID(CELL("filename",$A$1),FIND("]",CELL("filename",$A$1))+1,31)&amp;$F$1,採点基準_観点別!$F$3:$F$1000)),"C","採点基準が不正です"))))</f>
        <v/>
      </c>
      <c r="AF32" s="50"/>
    </row>
    <row r="33" spans="1:32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 t="str">
        <f t="shared" si="0"/>
        <v>未入力</v>
      </c>
      <c r="J33" s="42" t="str">
        <f t="shared" si="1"/>
        <v/>
      </c>
      <c r="K33" s="42" t="str" cm="1">
        <f t="array" aca="1" ref="K33" ca="1">IF(J33 = "","",IF(J33&gt;=INDEX(採点基準_観点別!$C$3:$C$1000,_xlfn.XMATCH(MID(CELL("filename",$A$1),FIND("]",CELL("filename",$A$1))+1,31)&amp;$F$1,採点基準_観点別!$F$3:$F$1000)),"A",IF(J33&gt;=INDEX(採点基準_観点別!$D$3:$D$1000,_xlfn.XMATCH(MID(CELL("filename",$A$1),FIND("]",CELL("filename",$A$1))+1,31)&amp;$F$1,採点基準_観点別!$F$3:$F$1000)),"B",IF(J33&lt;=INDEX(採点基準_観点別!$E$3:$E$1000,_xlfn.XMATCH(MID(CELL("filename",$A$1),FIND("]",CELL("filename",$A$1))+1,31)&amp;$F$1,採点基準_観点別!$F$3:$F$1000)),"C","採点基準が不正です"))))</f>
        <v/>
      </c>
      <c r="L33" s="42"/>
      <c r="M33" s="42"/>
      <c r="N33" s="42"/>
      <c r="O33" s="42"/>
      <c r="P33" s="42"/>
      <c r="Q33" s="42"/>
      <c r="R33" s="42"/>
      <c r="S33" s="42" t="str">
        <f t="shared" si="2"/>
        <v>未入力</v>
      </c>
      <c r="T33" s="42" t="str">
        <f t="shared" si="3"/>
        <v/>
      </c>
      <c r="U33" s="42" t="str" cm="1">
        <f t="array" aca="1" ref="U33" ca="1">IF(T33 = "","",IF(T33&gt;=INDEX(採点基準_観点別!$C$3:$C$1000,_xlfn.XMATCH(MID(CELL("filename",$A$1),FIND("]",CELL("filename",$A$1))+1,31)&amp;$F$1,採点基準_観点別!$F$3:$F$1000)),"A",IF(T33&gt;=INDEX(採点基準_観点別!$D$3:$D$1000,_xlfn.XMATCH(MID(CELL("filename",$A$1),FIND("]",CELL("filename",$A$1))+1,31)&amp;$F$1,採点基準_観点別!$F$3:$F$1000)),"B",IF(T33&lt;=INDEX(採点基準_観点別!$E$3:$E$1000,_xlfn.XMATCH(MID(CELL("filename",$A$1),FIND("]",CELL("filename",$A$1))+1,31)&amp;$F$1,採点基準_観点別!$F$3:$F$1000)),"C","採点基準が不正です"))))</f>
        <v/>
      </c>
      <c r="V33" s="42"/>
      <c r="W33" s="42"/>
      <c r="X33" s="42"/>
      <c r="Y33" s="42"/>
      <c r="Z33" s="42"/>
      <c r="AA33" s="42"/>
      <c r="AB33" s="42"/>
      <c r="AC33" s="42" t="str">
        <f t="shared" si="4"/>
        <v>未入力</v>
      </c>
      <c r="AD33" s="42" t="str">
        <f t="shared" si="5"/>
        <v/>
      </c>
      <c r="AE33" s="42" t="str" cm="1">
        <f t="array" aca="1" ref="AE33" ca="1">IF(AD33 = "","",IF(AD33&gt;=INDEX(採点基準_観点別!$C$3:$C$1000,_xlfn.XMATCH(MID(CELL("filename",$A$1),FIND("]",CELL("filename",$A$1))+1,31)&amp;$F$1,採点基準_観点別!$F$3:$F$1000)),"A",IF(AD33&gt;=INDEX(採点基準_観点別!$D$3:$D$1000,_xlfn.XMATCH(MID(CELL("filename",$A$1),FIND("]",CELL("filename",$A$1))+1,31)&amp;$F$1,採点基準_観点別!$F$3:$F$1000)),"B",IF(AD33&lt;=INDEX(採点基準_観点別!$E$3:$E$1000,_xlfn.XMATCH(MID(CELL("filename",$A$1),FIND("]",CELL("filename",$A$1))+1,31)&amp;$F$1,採点基準_観点別!$F$3:$F$1000)),"C","採点基準が不正です"))))</f>
        <v/>
      </c>
      <c r="AF33" s="51"/>
    </row>
    <row r="34" spans="1:32" x14ac:dyDescent="0.4">
      <c r="A34" s="62">
        <v>14</v>
      </c>
      <c r="B34" s="62" t="s">
        <v>2</v>
      </c>
      <c r="C34" s="31"/>
      <c r="D34" s="31"/>
      <c r="E34" s="31"/>
      <c r="F34" s="31"/>
      <c r="G34" s="31"/>
      <c r="H34" s="31"/>
      <c r="I34" s="31" t="str">
        <f t="shared" si="0"/>
        <v>未入力</v>
      </c>
      <c r="J34" s="31" t="str">
        <f t="shared" si="1"/>
        <v/>
      </c>
      <c r="K34" s="31" t="str" cm="1">
        <f t="array" aca="1" ref="K34" ca="1">IF(J34 = "","",IF(J34&gt;=INDEX(採点基準_観点別!$C$3:$C$1000,_xlfn.XMATCH(MID(CELL("filename",$A$1),FIND("]",CELL("filename",$A$1))+1,31)&amp;$F$1,採点基準_観点別!$F$3:$F$1000)),"A",IF(J34&gt;=INDEX(採点基準_観点別!$D$3:$D$1000,_xlfn.XMATCH(MID(CELL("filename",$A$1),FIND("]",CELL("filename",$A$1))+1,31)&amp;$F$1,採点基準_観点別!$F$3:$F$1000)),"B",IF(J34&lt;=INDEX(採点基準_観点別!$E$3:$E$1000,_xlfn.XMATCH(MID(CELL("filename",$A$1),FIND("]",CELL("filename",$A$1))+1,31)&amp;$F$1,採点基準_観点別!$F$3:$F$1000)),"C","採点基準が不正です"))))</f>
        <v/>
      </c>
      <c r="L34" s="31"/>
      <c r="M34" s="31"/>
      <c r="N34" s="31"/>
      <c r="O34" s="31"/>
      <c r="P34" s="31"/>
      <c r="Q34" s="31"/>
      <c r="R34" s="31"/>
      <c r="S34" s="31" t="str">
        <f t="shared" si="2"/>
        <v>未入力</v>
      </c>
      <c r="T34" s="31" t="str">
        <f t="shared" si="3"/>
        <v/>
      </c>
      <c r="U34" s="31" t="str" cm="1">
        <f t="array" aca="1" ref="U34" ca="1">IF(T34 = "","",IF(T34&gt;=INDEX(採点基準_観点別!$C$3:$C$1000,_xlfn.XMATCH(MID(CELL("filename",$A$1),FIND("]",CELL("filename",$A$1))+1,31)&amp;$F$1,採点基準_観点別!$F$3:$F$1000)),"A",IF(T34&gt;=INDEX(採点基準_観点別!$D$3:$D$1000,_xlfn.XMATCH(MID(CELL("filename",$A$1),FIND("]",CELL("filename",$A$1))+1,31)&amp;$F$1,採点基準_観点別!$F$3:$F$1000)),"B",IF(T34&lt;=INDEX(採点基準_観点別!$E$3:$E$1000,_xlfn.XMATCH(MID(CELL("filename",$A$1),FIND("]",CELL("filename",$A$1))+1,31)&amp;$F$1,採点基準_観点別!$F$3:$F$1000)),"C","採点基準が不正です"))))</f>
        <v/>
      </c>
      <c r="V34" s="31"/>
      <c r="W34" s="31"/>
      <c r="X34" s="31"/>
      <c r="Y34" s="31"/>
      <c r="Z34" s="31"/>
      <c r="AA34" s="31"/>
      <c r="AB34" s="31"/>
      <c r="AC34" s="31" t="str">
        <f t="shared" si="4"/>
        <v>未入力</v>
      </c>
      <c r="AD34" s="31" t="str">
        <f t="shared" si="5"/>
        <v/>
      </c>
      <c r="AE34" s="31" t="str" cm="1">
        <f t="array" aca="1" ref="AE34" ca="1">IF(AD34 = "","",IF(AD34&gt;=INDEX(採点基準_観点別!$C$3:$C$1000,_xlfn.XMATCH(MID(CELL("filename",$A$1),FIND("]",CELL("filename",$A$1))+1,31)&amp;$F$1,採点基準_観点別!$F$3:$F$1000)),"A",IF(AD34&gt;=INDEX(採点基準_観点別!$D$3:$D$1000,_xlfn.XMATCH(MID(CELL("filename",$A$1),FIND("]",CELL("filename",$A$1))+1,31)&amp;$F$1,採点基準_観点別!$F$3:$F$1000)),"B",IF(AD34&lt;=INDEX(採点基準_観点別!$E$3:$E$1000,_xlfn.XMATCH(MID(CELL("filename",$A$1),FIND("]",CELL("filename",$A$1))+1,31)&amp;$F$1,採点基準_観点別!$F$3:$F$1000)),"C","採点基準が不正です"))))</f>
        <v/>
      </c>
      <c r="AF34" s="50"/>
    </row>
    <row r="35" spans="1:32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 t="str">
        <f t="shared" si="0"/>
        <v>未入力</v>
      </c>
      <c r="J35" s="42" t="str">
        <f t="shared" si="1"/>
        <v/>
      </c>
      <c r="K35" s="42" t="str" cm="1">
        <f t="array" aca="1" ref="K35" ca="1">IF(J35 = "","",IF(J35&gt;=INDEX(採点基準_観点別!$C$3:$C$1000,_xlfn.XMATCH(MID(CELL("filename",$A$1),FIND("]",CELL("filename",$A$1))+1,31)&amp;$F$1,採点基準_観点別!$F$3:$F$1000)),"A",IF(J35&gt;=INDEX(採点基準_観点別!$D$3:$D$1000,_xlfn.XMATCH(MID(CELL("filename",$A$1),FIND("]",CELL("filename",$A$1))+1,31)&amp;$F$1,採点基準_観点別!$F$3:$F$1000)),"B",IF(J35&lt;=INDEX(採点基準_観点別!$E$3:$E$1000,_xlfn.XMATCH(MID(CELL("filename",$A$1),FIND("]",CELL("filename",$A$1))+1,31)&amp;$F$1,採点基準_観点別!$F$3:$F$1000)),"C","採点基準が不正です"))))</f>
        <v/>
      </c>
      <c r="L35" s="42"/>
      <c r="M35" s="42"/>
      <c r="N35" s="42"/>
      <c r="O35" s="42"/>
      <c r="P35" s="42"/>
      <c r="Q35" s="42"/>
      <c r="R35" s="42"/>
      <c r="S35" s="42" t="str">
        <f t="shared" si="2"/>
        <v>未入力</v>
      </c>
      <c r="T35" s="42" t="str">
        <f t="shared" si="3"/>
        <v/>
      </c>
      <c r="U35" s="42" t="str" cm="1">
        <f t="array" aca="1" ref="U35" ca="1">IF(T35 = "","",IF(T35&gt;=INDEX(採点基準_観点別!$C$3:$C$1000,_xlfn.XMATCH(MID(CELL("filename",$A$1),FIND("]",CELL("filename",$A$1))+1,31)&amp;$F$1,採点基準_観点別!$F$3:$F$1000)),"A",IF(T35&gt;=INDEX(採点基準_観点別!$D$3:$D$1000,_xlfn.XMATCH(MID(CELL("filename",$A$1),FIND("]",CELL("filename",$A$1))+1,31)&amp;$F$1,採点基準_観点別!$F$3:$F$1000)),"B",IF(T35&lt;=INDEX(採点基準_観点別!$E$3:$E$1000,_xlfn.XMATCH(MID(CELL("filename",$A$1),FIND("]",CELL("filename",$A$1))+1,31)&amp;$F$1,採点基準_観点別!$F$3:$F$1000)),"C","採点基準が不正です"))))</f>
        <v/>
      </c>
      <c r="V35" s="42"/>
      <c r="W35" s="42"/>
      <c r="X35" s="42"/>
      <c r="Y35" s="42"/>
      <c r="Z35" s="42"/>
      <c r="AA35" s="42"/>
      <c r="AB35" s="42"/>
      <c r="AC35" s="42" t="str">
        <f t="shared" si="4"/>
        <v>未入力</v>
      </c>
      <c r="AD35" s="42" t="str">
        <f t="shared" si="5"/>
        <v/>
      </c>
      <c r="AE35" s="42" t="str" cm="1">
        <f t="array" aca="1" ref="AE35" ca="1">IF(AD35 = "","",IF(AD35&gt;=INDEX(採点基準_観点別!$C$3:$C$1000,_xlfn.XMATCH(MID(CELL("filename",$A$1),FIND("]",CELL("filename",$A$1))+1,31)&amp;$F$1,採点基準_観点別!$F$3:$F$1000)),"A",IF(AD35&gt;=INDEX(採点基準_観点別!$D$3:$D$1000,_xlfn.XMATCH(MID(CELL("filename",$A$1),FIND("]",CELL("filename",$A$1))+1,31)&amp;$F$1,採点基準_観点別!$F$3:$F$1000)),"B",IF(AD35&lt;=INDEX(採点基準_観点別!$E$3:$E$1000,_xlfn.XMATCH(MID(CELL("filename",$A$1),FIND("]",CELL("filename",$A$1))+1,31)&amp;$F$1,採点基準_観点別!$F$3:$F$1000)),"C","採点基準が不正です"))))</f>
        <v/>
      </c>
      <c r="AF35" s="51"/>
    </row>
    <row r="36" spans="1:32" x14ac:dyDescent="0.4">
      <c r="A36" s="62">
        <v>14</v>
      </c>
      <c r="B36" s="62" t="s">
        <v>2</v>
      </c>
      <c r="C36" s="31"/>
      <c r="D36" s="31"/>
      <c r="E36" s="31"/>
      <c r="F36" s="31"/>
      <c r="G36" s="31"/>
      <c r="H36" s="31"/>
      <c r="I36" s="31" t="str">
        <f t="shared" si="0"/>
        <v>未入力</v>
      </c>
      <c r="J36" s="31" t="str">
        <f t="shared" si="1"/>
        <v/>
      </c>
      <c r="K36" s="31" t="str" cm="1">
        <f t="array" aca="1" ref="K36" ca="1">IF(J36 = "","",IF(J36&gt;=INDEX(採点基準_観点別!$C$3:$C$1000,_xlfn.XMATCH(MID(CELL("filename",$A$1),FIND("]",CELL("filename",$A$1))+1,31)&amp;$F$1,採点基準_観点別!$F$3:$F$1000)),"A",IF(J36&gt;=INDEX(採点基準_観点別!$D$3:$D$1000,_xlfn.XMATCH(MID(CELL("filename",$A$1),FIND("]",CELL("filename",$A$1))+1,31)&amp;$F$1,採点基準_観点別!$F$3:$F$1000)),"B",IF(J36&lt;=INDEX(採点基準_観点別!$E$3:$E$1000,_xlfn.XMATCH(MID(CELL("filename",$A$1),FIND("]",CELL("filename",$A$1))+1,31)&amp;$F$1,採点基準_観点別!$F$3:$F$1000)),"C","採点基準が不正です"))))</f>
        <v/>
      </c>
      <c r="L36" s="31"/>
      <c r="M36" s="31"/>
      <c r="N36" s="31"/>
      <c r="O36" s="31"/>
      <c r="P36" s="31"/>
      <c r="Q36" s="31"/>
      <c r="R36" s="31"/>
      <c r="S36" s="31" t="str">
        <f t="shared" si="2"/>
        <v>未入力</v>
      </c>
      <c r="T36" s="31" t="str">
        <f t="shared" si="3"/>
        <v/>
      </c>
      <c r="U36" s="31" t="str" cm="1">
        <f t="array" aca="1" ref="U36" ca="1">IF(T36 = "","",IF(T36&gt;=INDEX(採点基準_観点別!$C$3:$C$1000,_xlfn.XMATCH(MID(CELL("filename",$A$1),FIND("]",CELL("filename",$A$1))+1,31)&amp;$F$1,採点基準_観点別!$F$3:$F$1000)),"A",IF(T36&gt;=INDEX(採点基準_観点別!$D$3:$D$1000,_xlfn.XMATCH(MID(CELL("filename",$A$1),FIND("]",CELL("filename",$A$1))+1,31)&amp;$F$1,採点基準_観点別!$F$3:$F$1000)),"B",IF(T36&lt;=INDEX(採点基準_観点別!$E$3:$E$1000,_xlfn.XMATCH(MID(CELL("filename",$A$1),FIND("]",CELL("filename",$A$1))+1,31)&amp;$F$1,採点基準_観点別!$F$3:$F$1000)),"C","採点基準が不正です"))))</f>
        <v/>
      </c>
      <c r="V36" s="31"/>
      <c r="W36" s="31"/>
      <c r="X36" s="31"/>
      <c r="Y36" s="31"/>
      <c r="Z36" s="31"/>
      <c r="AA36" s="31"/>
      <c r="AB36" s="31"/>
      <c r="AC36" s="31" t="str">
        <f t="shared" si="4"/>
        <v>未入力</v>
      </c>
      <c r="AD36" s="31" t="str">
        <f t="shared" si="5"/>
        <v/>
      </c>
      <c r="AE36" s="31" t="str" cm="1">
        <f t="array" aca="1" ref="AE36" ca="1">IF(AD36 = "","",IF(AD36&gt;=INDEX(採点基準_観点別!$C$3:$C$1000,_xlfn.XMATCH(MID(CELL("filename",$A$1),FIND("]",CELL("filename",$A$1))+1,31)&amp;$F$1,採点基準_観点別!$F$3:$F$1000)),"A",IF(AD36&gt;=INDEX(採点基準_観点別!$D$3:$D$1000,_xlfn.XMATCH(MID(CELL("filename",$A$1),FIND("]",CELL("filename",$A$1))+1,31)&amp;$F$1,採点基準_観点別!$F$3:$F$1000)),"B",IF(AD36&lt;=INDEX(採点基準_観点別!$E$3:$E$1000,_xlfn.XMATCH(MID(CELL("filename",$A$1),FIND("]",CELL("filename",$A$1))+1,31)&amp;$F$1,採点基準_観点別!$F$3:$F$1000)),"C","採点基準が不正です"))))</f>
        <v/>
      </c>
      <c r="AF36" s="50"/>
    </row>
    <row r="37" spans="1:32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 t="str">
        <f t="shared" si="0"/>
        <v>未入力</v>
      </c>
      <c r="J37" s="42" t="str">
        <f t="shared" si="1"/>
        <v/>
      </c>
      <c r="K37" s="42" t="str" cm="1">
        <f t="array" aca="1" ref="K37" ca="1">IF(J37 = "","",IF(J37&gt;=INDEX(採点基準_観点別!$C$3:$C$1000,_xlfn.XMATCH(MID(CELL("filename",$A$1),FIND("]",CELL("filename",$A$1))+1,31)&amp;$F$1,採点基準_観点別!$F$3:$F$1000)),"A",IF(J37&gt;=INDEX(採点基準_観点別!$D$3:$D$1000,_xlfn.XMATCH(MID(CELL("filename",$A$1),FIND("]",CELL("filename",$A$1))+1,31)&amp;$F$1,採点基準_観点別!$F$3:$F$1000)),"B",IF(J37&lt;=INDEX(採点基準_観点別!$E$3:$E$1000,_xlfn.XMATCH(MID(CELL("filename",$A$1),FIND("]",CELL("filename",$A$1))+1,31)&amp;$F$1,採点基準_観点別!$F$3:$F$1000)),"C","採点基準が不正です"))))</f>
        <v/>
      </c>
      <c r="L37" s="42"/>
      <c r="M37" s="42"/>
      <c r="N37" s="42"/>
      <c r="O37" s="42"/>
      <c r="P37" s="42"/>
      <c r="Q37" s="42"/>
      <c r="R37" s="42"/>
      <c r="S37" s="42" t="str">
        <f t="shared" si="2"/>
        <v>未入力</v>
      </c>
      <c r="T37" s="42" t="str">
        <f t="shared" si="3"/>
        <v/>
      </c>
      <c r="U37" s="42" t="str" cm="1">
        <f t="array" aca="1" ref="U37" ca="1">IF(T37 = "","",IF(T37&gt;=INDEX(採点基準_観点別!$C$3:$C$1000,_xlfn.XMATCH(MID(CELL("filename",$A$1),FIND("]",CELL("filename",$A$1))+1,31)&amp;$F$1,採点基準_観点別!$F$3:$F$1000)),"A",IF(T37&gt;=INDEX(採点基準_観点別!$D$3:$D$1000,_xlfn.XMATCH(MID(CELL("filename",$A$1),FIND("]",CELL("filename",$A$1))+1,31)&amp;$F$1,採点基準_観点別!$F$3:$F$1000)),"B",IF(T37&lt;=INDEX(採点基準_観点別!$E$3:$E$1000,_xlfn.XMATCH(MID(CELL("filename",$A$1),FIND("]",CELL("filename",$A$1))+1,31)&amp;$F$1,採点基準_観点別!$F$3:$F$1000)),"C","採点基準が不正です"))))</f>
        <v/>
      </c>
      <c r="V37" s="42"/>
      <c r="W37" s="42"/>
      <c r="X37" s="42"/>
      <c r="Y37" s="42"/>
      <c r="Z37" s="42"/>
      <c r="AA37" s="42"/>
      <c r="AB37" s="42"/>
      <c r="AC37" s="42" t="str">
        <f t="shared" si="4"/>
        <v>未入力</v>
      </c>
      <c r="AD37" s="42" t="str">
        <f t="shared" si="5"/>
        <v/>
      </c>
      <c r="AE37" s="42" t="str" cm="1">
        <f t="array" aca="1" ref="AE37" ca="1">IF(AD37 = "","",IF(AD37&gt;=INDEX(採点基準_観点別!$C$3:$C$1000,_xlfn.XMATCH(MID(CELL("filename",$A$1),FIND("]",CELL("filename",$A$1))+1,31)&amp;$F$1,採点基準_観点別!$F$3:$F$1000)),"A",IF(AD37&gt;=INDEX(採点基準_観点別!$D$3:$D$1000,_xlfn.XMATCH(MID(CELL("filename",$A$1),FIND("]",CELL("filename",$A$1))+1,31)&amp;$F$1,採点基準_観点別!$F$3:$F$1000)),"B",IF(AD37&lt;=INDEX(採点基準_観点別!$E$3:$E$1000,_xlfn.XMATCH(MID(CELL("filename",$A$1),FIND("]",CELL("filename",$A$1))+1,31)&amp;$F$1,採点基準_観点別!$F$3:$F$1000)),"C","採点基準が不正です"))))</f>
        <v/>
      </c>
      <c r="AF37" s="51"/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E8606-4D00-44CB-B81C-87FC470C8B44}">
  <sheetPr codeName="Sheet12"/>
  <dimension ref="A1:AF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2" x14ac:dyDescent="0.4">
      <c r="B1" s="33" t="s">
        <v>21</v>
      </c>
      <c r="C1" s="55" t="s">
        <v>23</v>
      </c>
      <c r="D1" s="56"/>
      <c r="E1" s="57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6"/>
      <c r="AA1" s="26"/>
      <c r="AB1" s="26"/>
      <c r="AC1" s="26"/>
      <c r="AD1" s="26"/>
      <c r="AE1" s="26"/>
      <c r="AF1" s="27"/>
    </row>
    <row r="2" spans="1:32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3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43</v>
      </c>
      <c r="S2" s="39" t="s">
        <v>42</v>
      </c>
      <c r="T2" s="43" t="s">
        <v>37</v>
      </c>
      <c r="U2" s="39" t="s">
        <v>38</v>
      </c>
      <c r="V2" s="39" t="s">
        <v>39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43</v>
      </c>
      <c r="AB2" s="39" t="s">
        <v>27</v>
      </c>
      <c r="AC2" s="39" t="s">
        <v>42</v>
      </c>
      <c r="AD2" s="43" t="s">
        <v>37</v>
      </c>
      <c r="AE2" s="39" t="s">
        <v>38</v>
      </c>
      <c r="AF2" s="39" t="s">
        <v>39</v>
      </c>
    </row>
    <row r="3" spans="1:32" x14ac:dyDescent="0.4">
      <c r="A3" s="58"/>
      <c r="B3" s="30" t="s">
        <v>51</v>
      </c>
      <c r="C3" s="35"/>
      <c r="D3" s="30"/>
      <c r="E3" s="30"/>
      <c r="F3" s="30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ｓ２</v>
      </c>
      <c r="G3" s="30" t="str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ｓ２</v>
      </c>
      <c r="H3" s="30" t="str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ｓ２</v>
      </c>
      <c r="I3" s="30" t="str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ｓ２</v>
      </c>
      <c r="J3" s="30" t="str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ｓ２</v>
      </c>
      <c r="K3" s="30"/>
      <c r="L3" s="30"/>
      <c r="M3" s="30"/>
      <c r="N3" s="30" t="str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ｓ２</v>
      </c>
      <c r="O3" s="30" t="str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ｓ２</v>
      </c>
      <c r="P3" s="30" t="str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ｓ２</v>
      </c>
      <c r="Q3" s="30" t="str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ｓ２</v>
      </c>
      <c r="R3" s="30" t="str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ｓ２</v>
      </c>
      <c r="S3" s="30" t="str" cm="1">
        <f t="array" aca="1" ref="S3" ca="1">_xlfn.XLOOKUP(MID(CELL("filename",$A$1),FIND("]",CELL("filename",$A$1))+1,31)&amp;$S$2&amp;$N$1,採点基準_単元別!$R$3:$R$100000,採点基準_単元別!$F$3:$F$100000,_xlfn.XLOOKUP(MID(CELL("filename",$A$1),FIND("]",CELL("filename",$A$1))+1,31)&amp;$S$2&amp;$N$1,採点基準_単元別!$S$3:$S$100000,採点基準_単元別!$J$3:$J$100000,_xlfn.XLOOKUP(MID(CELL("filename",$A$1),FIND("]",CELL("filename",$A$1))+1,31)&amp;$S$2&amp;$N$1,採点基準_単元別!$T$3:$T$100000,採点基準_単元別!$N$3:$N$100000,"見つかりません")))</f>
        <v>ｓ２</v>
      </c>
      <c r="T3" s="30"/>
      <c r="U3" s="30"/>
      <c r="V3" s="30"/>
      <c r="W3" s="30" t="str" cm="1">
        <f t="array" aca="1" ref="W3" ca="1">_xlfn.XLOOKUP(MID(CELL("filename",$A$1),FIND("]",CELL("filename",$A$1))+1,31)&amp;$W$2&amp;$W$1,採点基準_単元別!$R$3:$R$100000,採点基準_単元別!$F$3:$F$100000,_xlfn.XLOOKUP(MID(CELL("filename",$A$1),FIND("]",CELL("filename",$A$1))+1,31)&amp;$W$2&amp;$W$1,採点基準_単元別!$S$3:$S$100000,採点基準_単元別!$J$3:$J$100000,_xlfn.XLOOKUP(MID(CELL("filename",$A$1),FIND("]",CELL("filename",$A$1))+1,31)&amp;$W$2&amp;$W$1,採点基準_単元別!$T$3:$T$100000,採点基準_単元別!$N$3:$N$100000,"見つかりません")))</f>
        <v>見つかりません</v>
      </c>
      <c r="X3" s="30" t="str" cm="1">
        <f t="array" aca="1" ref="X3" ca="1">_xlfn.XLOOKUP(MID(CELL("filename",$A$1),FIND("]",CELL("filename",$A$1))+1,31)&amp;$X$2&amp;$W$1,採点基準_単元別!$R$3:$R$100000,採点基準_単元別!$F$3:$F$100000,_xlfn.XLOOKUP(MID(CELL("filename",$A$1),FIND("]",CELL("filename",$A$1))+1,31)&amp;$X$2&amp;$W$1,採点基準_単元別!$S$3:$S$100000,採点基準_単元別!$J$3:$J$100000,_xlfn.XLOOKUP(MID(CELL("filename",$A$1),FIND("]",CELL("filename",$A$1))+1,31)&amp;$X$2&amp;$W$1,採点基準_単元別!$T$3:$T$100000,採点基準_単元別!$N$3:$N$100000,"見つかりません")))</f>
        <v>見つかりません</v>
      </c>
      <c r="Y3" s="30" t="str" cm="1">
        <f t="array" aca="1" ref="Y3" ca="1">_xlfn.XLOOKUP(MID(CELL("filename",$A$1),FIND("]",CELL("filename",$A$1))+1,31)&amp;$Y$2&amp;$W$1,採点基準_単元別!$R$3:$R$100000,採点基準_単元別!$F$3:$F$100000,_xlfn.XLOOKUP(MID(CELL("filename",$A$1),FIND("]",CELL("filename",$A$1))+1,31)&amp;$Y$2&amp;$W$1,採点基準_単元別!$S$3:$S$100000,採点基準_単元別!$J$3:$J$100000,_xlfn.XLOOKUP(MID(CELL("filename",$A$1),FIND("]",CELL("filename",$A$1))+1,31)&amp;$Y$2&amp;$W$1,採点基準_単元別!$T$3:$T$100000,採点基準_単元別!$N$3:$N$100000,"見つかりません")))</f>
        <v>見つかりません</v>
      </c>
      <c r="Z3" s="30" t="str" cm="1">
        <f t="array" aca="1" ref="Z3" ca="1">_xlfn.XLOOKUP(MID(CELL("filename",$A$1),FIND("]",CELL("filename",$A$1))+1,31)&amp;$Z$2&amp;$W$1,採点基準_単元別!$R$3:$R$100000,採点基準_単元別!$F$3:$F$100000,_xlfn.XLOOKUP(MID(CELL("filename",$A$1),FIND("]",CELL("filename",$A$1))+1,31)&amp;$Z$2&amp;$W$1,採点基準_単元別!$S$3:$S$100000,採点基準_単元別!$J$3:$J$100000,_xlfn.XLOOKUP(MID(CELL("filename",$A$1),FIND("]",CELL("filename",$A$1))+1,31)&amp;$Z$2&amp;$W$1,採点基準_単元別!$T$3:$T$100000,採点基準_単元別!$N$3:$N$100000,"見つかりません")))</f>
        <v>見つかりません</v>
      </c>
      <c r="AA3" s="30" t="str" cm="1">
        <f t="array" aca="1" ref="AA3" ca="1">_xlfn.XLOOKUP(MID(CELL("filename",$A$1),FIND("]",CELL("filename",$A$1))+1,31)&amp;$AA$2&amp;$W$1,採点基準_単元別!$R$3:$R$100000,採点基準_単元別!$F$3:$F$100000,_xlfn.XLOOKUP(MID(CELL("filename",$A$1),FIND("]",CELL("filename",$A$1))+1,31)&amp;$AA$2&amp;$W$1,採点基準_単元別!$S$3:$S$100000,採点基準_単元別!$J$3:$J$100000,_xlfn.XLOOKUP(MID(CELL("filename",$A$1),FIND("]",CELL("filename",$A$1))+1,31)&amp;$AA$2&amp;$W$1,採点基準_単元別!$T$3:$T$100000,採点基準_単元別!$N$3:$N$100000,"見つかりません")))</f>
        <v>見つかりません</v>
      </c>
      <c r="AB3" s="30" t="str" cm="1">
        <f t="array" aca="1" ref="AB3" ca="1">_xlfn.XLOOKUP(MID(CELL("filename",$A$1),FIND("]",CELL("filename",$A$1))+1,31)&amp;$AB$2&amp;$W$1,採点基準_単元別!$R$3:$R$100000,採点基準_単元別!$F$3:$F$100000,_xlfn.XLOOKUP(MID(CELL("filename",$A$1),FIND("]",CELL("filename",$A$1))+1,31)&amp;$AB$2&amp;$W$1,採点基準_単元別!$S$3:$S$100000,採点基準_単元別!$J$3:$J$100000,_xlfn.XLOOKUP(MID(CELL("filename",$A$1),FIND("]",CELL("filename",$A$1))+1,31)&amp;$AB$2&amp;$W$1,採点基準_単元別!$T$3:$T$100000,採点基準_単元別!$N$3:$N$100000,"見つかりません")))</f>
        <v>見つかりません</v>
      </c>
      <c r="AC3" s="30" t="str" cm="1">
        <f t="array" aca="1" ref="AC3" ca="1">_xlfn.XLOOKUP(MID(CELL("filename",$A$1),FIND("]",CELL("filename",$A$1))+1,31)&amp;$AC$2&amp;$W$1,採点基準_単元別!$R$3:$R$100000,採点基準_単元別!$F$3:$F$100000,_xlfn.XLOOKUP(MID(CELL("filename",$A$1),FIND("]",CELL("filename",$A$1))+1,31)&amp;$AC$2&amp;$W$1,採点基準_単元別!$S$3:$S$100000,採点基準_単元別!$J$3:$J$100000,_xlfn.XLOOKUP(MID(CELL("filename",$A$1),FIND("]",CELL("filename",$A$1))+1,31)&amp;$AC$2&amp;$W$1,採点基準_単元別!$T$3:$T$100000,採点基準_単元別!$N$3:$N$100000,"見つかりません")))</f>
        <v>見つかりません</v>
      </c>
      <c r="AD3" s="30"/>
      <c r="AE3" s="30"/>
      <c r="AF3" s="30"/>
    </row>
    <row r="4" spans="1:32" x14ac:dyDescent="0.4">
      <c r="A4" s="58"/>
      <c r="B4" s="53" t="s">
        <v>52</v>
      </c>
      <c r="C4" s="54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</row>
    <row r="5" spans="1:32" x14ac:dyDescent="0.4">
      <c r="A5" s="42">
        <v>1</v>
      </c>
      <c r="B5" s="42" t="s">
        <v>2</v>
      </c>
      <c r="C5" s="42"/>
      <c r="D5" s="42"/>
      <c r="E5" s="42"/>
      <c r="F5" s="42"/>
      <c r="G5" s="42"/>
      <c r="H5" s="42"/>
      <c r="I5" s="42"/>
      <c r="J5" s="42"/>
      <c r="K5" s="42" t="str">
        <f>IF(COUNTBLANK(F5:J5)=0,SUM(F5:J5),"未入力")</f>
        <v>未入力</v>
      </c>
      <c r="L5" s="42" t="str">
        <f>IFERROR(ROUNDDOWN(K5/ (IF(F5= "",0,$F$3)+IF(G5= "",0,$G$3)+IF(H5= "",0,$H$3)+IF(I5= "",0,$I$3)+IF(J5= "",0,$J$3))*100,0),"")</f>
        <v/>
      </c>
      <c r="M5" s="42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2"/>
      <c r="O5" s="42"/>
      <c r="P5" s="42"/>
      <c r="Q5" s="42"/>
      <c r="R5" s="42"/>
      <c r="S5" s="42"/>
      <c r="T5" s="42" t="str">
        <f>IF(COUNTBLANK(N5:S5)=0,SUM(N5:S5),"未入力")</f>
        <v>未入力</v>
      </c>
      <c r="U5" s="42" t="str">
        <f>IFERROR(ROUNDDOWN(T5/ (IF(N5= "",0,$N$3)+IF(O5= "",0,$O$3)+IF(P5= "",0,$P$3)+IF(Q5= "",0,$Q$3)+IF(R5= "",0,$R$3)+IF(S5= "",0,$S$3))*100,0),"")</f>
        <v/>
      </c>
      <c r="V5" s="42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42"/>
      <c r="X5" s="42"/>
      <c r="Y5" s="42"/>
      <c r="Z5" s="42"/>
      <c r="AA5" s="42"/>
      <c r="AB5" s="42"/>
      <c r="AC5" s="42"/>
      <c r="AD5" s="42" t="str">
        <f>IF(COUNTBLANK(W5:AC5)=0,SUM(W5:AC5),"未入力")</f>
        <v>未入力</v>
      </c>
      <c r="AE5" s="42" t="str">
        <f>IFERROR(ROUNDDOWN(AD5/ (IF(W5= "",0,$W$3)+IF(X5= "",0,$X$3)+IF(Y5= "",0,$Y$3)+IF(Z5= "",0,$Z$3)+IF(AA5= "",0,$AA$3)+IF(AB5= "",0,$AB$3)+IF(AC5= "",0,$AC$3))*100,0),"")</f>
        <v/>
      </c>
      <c r="AF5" s="42" t="str" cm="1">
        <f t="array" aca="1" ref="AF5" ca="1">IF(AE5 = "","",IF(AE5&gt;=INDEX(採点基準_観点別!$C$3:$C$1000,_xlfn.XMATCH(MID(CELL("filename",$A$1),FIND("]",CELL("filename",$A$1))+1,31)&amp;$F$1,採点基準_観点別!$F$3:$F$1000)),"A",IF(AE5&gt;=INDEX(採点基準_観点別!$D$3:$D$1000,_xlfn.XMATCH(MID(CELL("filename",$A$1),FIND("]",CELL("filename",$A$1))+1,31)&amp;$F$1,採点基準_観点別!$F$3:$F$1000)),"B",IF(AE5&lt;=INDEX(採点基準_観点別!$E$3:$E$1000,_xlfn.XMATCH(MID(CELL("filename",$A$1),FIND("]",CELL("filename",$A$1))+1,31)&amp;$F$1,採点基準_観点別!$F$3:$F$1000)),"C","採点基準が不正です"))))</f>
        <v/>
      </c>
    </row>
    <row r="6" spans="1:32" x14ac:dyDescent="0.4">
      <c r="A6" s="62">
        <v>2</v>
      </c>
      <c r="B6" s="62" t="s">
        <v>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37" si="0">IF(COUNTBLANK(F6:J6)=0,SUM(F6:J6),"未入力")</f>
        <v>未入力</v>
      </c>
      <c r="L6" s="31" t="str">
        <f t="shared" ref="L6:L37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/>
      <c r="T6" s="31" t="str">
        <f t="shared" ref="T6:T37" si="2">IF(COUNTBLANK(N6:S6)=0,SUM(N6:S6),"未入力")</f>
        <v>未入力</v>
      </c>
      <c r="U6" s="31" t="str">
        <f t="shared" ref="U6:U37" si="3">IFERROR(ROUNDDOWN(T6/ (IF(N6= "",0,$N$3)+IF(O6= "",0,$O$3)+IF(P6= "",0,$P$3)+IF(Q6= "",0,$Q$3)+IF(R6= "",0,$R$3)+IF(S6= "",0,$S$3))*100,0),"")</f>
        <v/>
      </c>
      <c r="V6" s="31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31"/>
      <c r="X6" s="31"/>
      <c r="Y6" s="31"/>
      <c r="Z6" s="31"/>
      <c r="AA6" s="31"/>
      <c r="AB6" s="31"/>
      <c r="AC6" s="31"/>
      <c r="AD6" s="31" t="str">
        <f t="shared" ref="AD6:AD37" si="4">IF(COUNTBLANK(W6:AC6)=0,SUM(W6:AC6),"未入力")</f>
        <v>未入力</v>
      </c>
      <c r="AE6" s="31" t="str">
        <f t="shared" ref="AE6:AE37" si="5">IFERROR(ROUNDDOWN(AD6/ (IF(W6= "",0,$W$3)+IF(X6= "",0,$X$3)+IF(Y6= "",0,$Y$3)+IF(Z6= "",0,$Z$3)+IF(AA6= "",0,$AA$3)+IF(AB6= "",0,$AB$3)+IF(AC6= "",0,$AC$3))*100,0),"")</f>
        <v/>
      </c>
      <c r="AF6" s="31" t="str" cm="1">
        <f t="array" aca="1" ref="AF6" ca="1">IF(AE6 = "","",IF(AE6&gt;=INDEX(採点基準_観点別!$C$3:$C$1000,_xlfn.XMATCH(MID(CELL("filename",$A$1),FIND("]",CELL("filename",$A$1))+1,31)&amp;$F$1,採点基準_観点別!$F$3:$F$1000)),"A",IF(AE6&gt;=INDEX(採点基準_観点別!$D$3:$D$1000,_xlfn.XMATCH(MID(CELL("filename",$A$1),FIND("]",CELL("filename",$A$1))+1,31)&amp;$F$1,採点基準_観点別!$F$3:$F$1000)),"B",IF(AE6&lt;=INDEX(採点基準_観点別!$E$3:$E$1000,_xlfn.XMATCH(MID(CELL("filename",$A$1),FIND("]",CELL("filename",$A$1))+1,31)&amp;$F$1,採点基準_観点別!$F$3:$F$1000)),"C","採点基準が不正です"))))</f>
        <v/>
      </c>
    </row>
    <row r="7" spans="1:32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/>
      <c r="J7" s="42"/>
      <c r="K7" s="42" t="str">
        <f t="shared" si="0"/>
        <v>未入力</v>
      </c>
      <c r="L7" s="42" t="str">
        <f t="shared" si="1"/>
        <v/>
      </c>
      <c r="M7" s="42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2"/>
      <c r="O7" s="42"/>
      <c r="P7" s="42"/>
      <c r="Q7" s="42"/>
      <c r="R7" s="42"/>
      <c r="S7" s="42"/>
      <c r="T7" s="42" t="str">
        <f t="shared" si="2"/>
        <v>未入力</v>
      </c>
      <c r="U7" s="42" t="str">
        <f t="shared" si="3"/>
        <v/>
      </c>
      <c r="V7" s="42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42"/>
      <c r="X7" s="42"/>
      <c r="Y7" s="42"/>
      <c r="Z7" s="42"/>
      <c r="AA7" s="42"/>
      <c r="AB7" s="42"/>
      <c r="AC7" s="42"/>
      <c r="AD7" s="42" t="str">
        <f t="shared" si="4"/>
        <v>未入力</v>
      </c>
      <c r="AE7" s="42" t="str">
        <f t="shared" si="5"/>
        <v/>
      </c>
      <c r="AF7" s="42" t="str" cm="1">
        <f t="array" aca="1" ref="AF7" ca="1">IF(AE7 = "","",IF(AE7&gt;=INDEX(採点基準_観点別!$C$3:$C$1000,_xlfn.XMATCH(MID(CELL("filename",$A$1),FIND("]",CELL("filename",$A$1))+1,31)&amp;$F$1,採点基準_観点別!$F$3:$F$1000)),"A",IF(AE7&gt;=INDEX(採点基準_観点別!$D$3:$D$1000,_xlfn.XMATCH(MID(CELL("filename",$A$1),FIND("]",CELL("filename",$A$1))+1,31)&amp;$F$1,採点基準_観点別!$F$3:$F$1000)),"B",IF(AE7&lt;=INDEX(採点基準_観点別!$E$3:$E$1000,_xlfn.XMATCH(MID(CELL("filename",$A$1),FIND("]",CELL("filename",$A$1))+1,31)&amp;$F$1,採点基準_観点別!$F$3:$F$1000)),"C","採点基準が不正です"))))</f>
        <v/>
      </c>
    </row>
    <row r="8" spans="1:32" x14ac:dyDescent="0.4">
      <c r="A8" s="62">
        <v>4</v>
      </c>
      <c r="B8" s="62" t="s">
        <v>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/>
      <c r="T8" s="31" t="str">
        <f t="shared" si="2"/>
        <v>未入力</v>
      </c>
      <c r="U8" s="31" t="str">
        <f t="shared" si="3"/>
        <v/>
      </c>
      <c r="V8" s="31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31"/>
      <c r="X8" s="31"/>
      <c r="Y8" s="31"/>
      <c r="Z8" s="31"/>
      <c r="AA8" s="31"/>
      <c r="AB8" s="31"/>
      <c r="AC8" s="31"/>
      <c r="AD8" s="31" t="str">
        <f t="shared" si="4"/>
        <v>未入力</v>
      </c>
      <c r="AE8" s="31" t="str">
        <f t="shared" si="5"/>
        <v/>
      </c>
      <c r="AF8" s="31" t="str" cm="1">
        <f t="array" aca="1" ref="AF8" ca="1">IF(AE8 = "","",IF(AE8&gt;=INDEX(採点基準_観点別!$C$3:$C$1000,_xlfn.XMATCH(MID(CELL("filename",$A$1),FIND("]",CELL("filename",$A$1))+1,31)&amp;$F$1,採点基準_観点別!$F$3:$F$1000)),"A",IF(AE8&gt;=INDEX(採点基準_観点別!$D$3:$D$1000,_xlfn.XMATCH(MID(CELL("filename",$A$1),FIND("]",CELL("filename",$A$1))+1,31)&amp;$F$1,採点基準_観点別!$F$3:$F$1000)),"B",IF(AE8&lt;=INDEX(採点基準_観点別!$E$3:$E$1000,_xlfn.XMATCH(MID(CELL("filename",$A$1),FIND("]",CELL("filename",$A$1))+1,31)&amp;$F$1,採点基準_観点別!$F$3:$F$1000)),"C","採点基準が不正です"))))</f>
        <v/>
      </c>
    </row>
    <row r="9" spans="1:32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/>
      <c r="J9" s="42"/>
      <c r="K9" s="42" t="str">
        <f t="shared" si="0"/>
        <v>未入力</v>
      </c>
      <c r="L9" s="42" t="str">
        <f t="shared" si="1"/>
        <v/>
      </c>
      <c r="M9" s="42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2"/>
      <c r="O9" s="42"/>
      <c r="P9" s="42"/>
      <c r="Q9" s="42"/>
      <c r="R9" s="42"/>
      <c r="S9" s="42"/>
      <c r="T9" s="42" t="str">
        <f t="shared" si="2"/>
        <v>未入力</v>
      </c>
      <c r="U9" s="42" t="str">
        <f t="shared" si="3"/>
        <v/>
      </c>
      <c r="V9" s="42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42"/>
      <c r="X9" s="42"/>
      <c r="Y9" s="42"/>
      <c r="Z9" s="42"/>
      <c r="AA9" s="42"/>
      <c r="AB9" s="42"/>
      <c r="AC9" s="42"/>
      <c r="AD9" s="42" t="str">
        <f t="shared" si="4"/>
        <v>未入力</v>
      </c>
      <c r="AE9" s="42" t="str">
        <f t="shared" si="5"/>
        <v/>
      </c>
      <c r="AF9" s="42" t="str" cm="1">
        <f t="array" aca="1" ref="AF9" ca="1">IF(AE9 = "","",IF(AE9&gt;=INDEX(採点基準_観点別!$C$3:$C$1000,_xlfn.XMATCH(MID(CELL("filename",$A$1),FIND("]",CELL("filename",$A$1))+1,31)&amp;$F$1,採点基準_観点別!$F$3:$F$1000)),"A",IF(AE9&gt;=INDEX(採点基準_観点別!$D$3:$D$1000,_xlfn.XMATCH(MID(CELL("filename",$A$1),FIND("]",CELL("filename",$A$1))+1,31)&amp;$F$1,採点基準_観点別!$F$3:$F$1000)),"B",IF(AE9&lt;=INDEX(採点基準_観点別!$E$3:$E$1000,_xlfn.XMATCH(MID(CELL("filename",$A$1),FIND("]",CELL("filename",$A$1))+1,31)&amp;$F$1,採点基準_観点別!$F$3:$F$1000)),"C","採点基準が不正です"))))</f>
        <v/>
      </c>
    </row>
    <row r="10" spans="1:32" x14ac:dyDescent="0.4">
      <c r="A10" s="62">
        <v>6</v>
      </c>
      <c r="B10" s="62" t="s">
        <v>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/>
      <c r="T10" s="31" t="str">
        <f t="shared" si="2"/>
        <v>未入力</v>
      </c>
      <c r="U10" s="31" t="str">
        <f t="shared" si="3"/>
        <v/>
      </c>
      <c r="V10" s="31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31"/>
      <c r="X10" s="31"/>
      <c r="Y10" s="31"/>
      <c r="Z10" s="31"/>
      <c r="AA10" s="31"/>
      <c r="AB10" s="31"/>
      <c r="AC10" s="31"/>
      <c r="AD10" s="31" t="str">
        <f t="shared" si="4"/>
        <v>未入力</v>
      </c>
      <c r="AE10" s="31" t="str">
        <f t="shared" si="5"/>
        <v/>
      </c>
      <c r="AF10" s="31" t="str" cm="1">
        <f t="array" aca="1" ref="AF10" ca="1">IF(AE10 = "","",IF(AE10&gt;=INDEX(採点基準_観点別!$C$3:$C$1000,_xlfn.XMATCH(MID(CELL("filename",$A$1),FIND("]",CELL("filename",$A$1))+1,31)&amp;$F$1,採点基準_観点別!$F$3:$F$1000)),"A",IF(AE10&gt;=INDEX(採点基準_観点別!$D$3:$D$1000,_xlfn.XMATCH(MID(CELL("filename",$A$1),FIND("]",CELL("filename",$A$1))+1,31)&amp;$F$1,採点基準_観点別!$F$3:$F$1000)),"B",IF(AE10&lt;=INDEX(採点基準_観点別!$E$3:$E$1000,_xlfn.XMATCH(MID(CELL("filename",$A$1),FIND("]",CELL("filename",$A$1))+1,31)&amp;$F$1,採点基準_観点別!$F$3:$F$1000)),"C","採点基準が不正です"))))</f>
        <v/>
      </c>
    </row>
    <row r="11" spans="1:32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/>
      <c r="J11" s="42"/>
      <c r="K11" s="42" t="str">
        <f t="shared" si="0"/>
        <v>未入力</v>
      </c>
      <c r="L11" s="42" t="str">
        <f t="shared" si="1"/>
        <v/>
      </c>
      <c r="M11" s="42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2"/>
      <c r="O11" s="42"/>
      <c r="P11" s="42"/>
      <c r="Q11" s="42"/>
      <c r="R11" s="42"/>
      <c r="S11" s="42"/>
      <c r="T11" s="42" t="str">
        <f t="shared" si="2"/>
        <v>未入力</v>
      </c>
      <c r="U11" s="42" t="str">
        <f t="shared" si="3"/>
        <v/>
      </c>
      <c r="V11" s="42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42"/>
      <c r="X11" s="42"/>
      <c r="Y11" s="42"/>
      <c r="Z11" s="42"/>
      <c r="AA11" s="42"/>
      <c r="AB11" s="42"/>
      <c r="AC11" s="42"/>
      <c r="AD11" s="42" t="str">
        <f t="shared" si="4"/>
        <v>未入力</v>
      </c>
      <c r="AE11" s="42" t="str">
        <f t="shared" si="5"/>
        <v/>
      </c>
      <c r="AF11" s="42" t="str" cm="1">
        <f t="array" aca="1" ref="AF11" ca="1">IF(AE11 = "","",IF(AE11&gt;=INDEX(採点基準_観点別!$C$3:$C$1000,_xlfn.XMATCH(MID(CELL("filename",$A$1),FIND("]",CELL("filename",$A$1))+1,31)&amp;$F$1,採点基準_観点別!$F$3:$F$1000)),"A",IF(AE11&gt;=INDEX(採点基準_観点別!$D$3:$D$1000,_xlfn.XMATCH(MID(CELL("filename",$A$1),FIND("]",CELL("filename",$A$1))+1,31)&amp;$F$1,採点基準_観点別!$F$3:$F$1000)),"B",IF(AE11&lt;=INDEX(採点基準_観点別!$E$3:$E$1000,_xlfn.XMATCH(MID(CELL("filename",$A$1),FIND("]",CELL("filename",$A$1))+1,31)&amp;$F$1,採点基準_観点別!$F$3:$F$1000)),"C","採点基準が不正です"))))</f>
        <v/>
      </c>
    </row>
    <row r="12" spans="1:32" x14ac:dyDescent="0.4">
      <c r="A12" s="62">
        <v>8</v>
      </c>
      <c r="B12" s="62" t="s">
        <v>2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/>
      <c r="T12" s="31" t="str">
        <f t="shared" si="2"/>
        <v>未入力</v>
      </c>
      <c r="U12" s="31" t="str">
        <f t="shared" si="3"/>
        <v/>
      </c>
      <c r="V12" s="31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31"/>
      <c r="X12" s="31"/>
      <c r="Y12" s="31"/>
      <c r="Z12" s="31"/>
      <c r="AA12" s="31"/>
      <c r="AB12" s="31"/>
      <c r="AC12" s="31"/>
      <c r="AD12" s="31" t="str">
        <f t="shared" si="4"/>
        <v>未入力</v>
      </c>
      <c r="AE12" s="31" t="str">
        <f t="shared" si="5"/>
        <v/>
      </c>
      <c r="AF12" s="31" t="str" cm="1">
        <f t="array" aca="1" ref="AF12" ca="1">IF(AE12 = "","",IF(AE12&gt;=INDEX(採点基準_観点別!$C$3:$C$1000,_xlfn.XMATCH(MID(CELL("filename",$A$1),FIND("]",CELL("filename",$A$1))+1,31)&amp;$F$1,採点基準_観点別!$F$3:$F$1000)),"A",IF(AE12&gt;=INDEX(採点基準_観点別!$D$3:$D$1000,_xlfn.XMATCH(MID(CELL("filename",$A$1),FIND("]",CELL("filename",$A$1))+1,31)&amp;$F$1,採点基準_観点別!$F$3:$F$1000)),"B",IF(AE12&lt;=INDEX(採点基準_観点別!$E$3:$E$1000,_xlfn.XMATCH(MID(CELL("filename",$A$1),FIND("]",CELL("filename",$A$1))+1,31)&amp;$F$1,採点基準_観点別!$F$3:$F$1000)),"C","採点基準が不正です"))))</f>
        <v/>
      </c>
    </row>
    <row r="13" spans="1:32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/>
      <c r="J13" s="42"/>
      <c r="K13" s="42" t="str">
        <f t="shared" si="0"/>
        <v>未入力</v>
      </c>
      <c r="L13" s="42" t="str">
        <f t="shared" si="1"/>
        <v/>
      </c>
      <c r="M13" s="42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2"/>
      <c r="O13" s="42"/>
      <c r="P13" s="42"/>
      <c r="Q13" s="42"/>
      <c r="R13" s="42"/>
      <c r="S13" s="42"/>
      <c r="T13" s="42" t="str">
        <f t="shared" si="2"/>
        <v>未入力</v>
      </c>
      <c r="U13" s="42" t="str">
        <f t="shared" si="3"/>
        <v/>
      </c>
      <c r="V13" s="42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42"/>
      <c r="X13" s="42"/>
      <c r="Y13" s="42"/>
      <c r="Z13" s="42"/>
      <c r="AA13" s="42"/>
      <c r="AB13" s="42"/>
      <c r="AC13" s="42"/>
      <c r="AD13" s="42" t="str">
        <f t="shared" si="4"/>
        <v>未入力</v>
      </c>
      <c r="AE13" s="42" t="str">
        <f t="shared" si="5"/>
        <v/>
      </c>
      <c r="AF13" s="42" t="str" cm="1">
        <f t="array" aca="1" ref="AF13" ca="1">IF(AE13 = "","",IF(AE13&gt;=INDEX(採点基準_観点別!$C$3:$C$1000,_xlfn.XMATCH(MID(CELL("filename",$A$1),FIND("]",CELL("filename",$A$1))+1,31)&amp;$F$1,採点基準_観点別!$F$3:$F$1000)),"A",IF(AE13&gt;=INDEX(採点基準_観点別!$D$3:$D$1000,_xlfn.XMATCH(MID(CELL("filename",$A$1),FIND("]",CELL("filename",$A$1))+1,31)&amp;$F$1,採点基準_観点別!$F$3:$F$1000)),"B",IF(AE13&lt;=INDEX(採点基準_観点別!$E$3:$E$1000,_xlfn.XMATCH(MID(CELL("filename",$A$1),FIND("]",CELL("filename",$A$1))+1,31)&amp;$F$1,採点基準_観点別!$F$3:$F$1000)),"C","採点基準が不正です"))))</f>
        <v/>
      </c>
    </row>
    <row r="14" spans="1:32" x14ac:dyDescent="0.4">
      <c r="A14" s="62">
        <v>10</v>
      </c>
      <c r="B14" s="62" t="s">
        <v>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/>
      <c r="T14" s="31" t="str">
        <f t="shared" si="2"/>
        <v>未入力</v>
      </c>
      <c r="U14" s="31" t="str">
        <f t="shared" si="3"/>
        <v/>
      </c>
      <c r="V14" s="31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31"/>
      <c r="X14" s="31"/>
      <c r="Y14" s="31"/>
      <c r="Z14" s="31"/>
      <c r="AA14" s="31"/>
      <c r="AB14" s="31"/>
      <c r="AC14" s="31"/>
      <c r="AD14" s="31" t="str">
        <f t="shared" si="4"/>
        <v>未入力</v>
      </c>
      <c r="AE14" s="31" t="str">
        <f t="shared" si="5"/>
        <v/>
      </c>
      <c r="AF14" s="31" t="str" cm="1">
        <f t="array" aca="1" ref="AF14" ca="1">IF(AE14 = "","",IF(AE14&gt;=INDEX(採点基準_観点別!$C$3:$C$1000,_xlfn.XMATCH(MID(CELL("filename",$A$1),FIND("]",CELL("filename",$A$1))+1,31)&amp;$F$1,採点基準_観点別!$F$3:$F$1000)),"A",IF(AE14&gt;=INDEX(採点基準_観点別!$D$3:$D$1000,_xlfn.XMATCH(MID(CELL("filename",$A$1),FIND("]",CELL("filename",$A$1))+1,31)&amp;$F$1,採点基準_観点別!$F$3:$F$1000)),"B",IF(AE14&lt;=INDEX(採点基準_観点別!$E$3:$E$1000,_xlfn.XMATCH(MID(CELL("filename",$A$1),FIND("]",CELL("filename",$A$1))+1,31)&amp;$F$1,採点基準_観点別!$F$3:$F$1000)),"C","採点基準が不正です"))))</f>
        <v/>
      </c>
    </row>
    <row r="15" spans="1:32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/>
      <c r="J15" s="42"/>
      <c r="K15" s="42" t="str">
        <f t="shared" si="0"/>
        <v>未入力</v>
      </c>
      <c r="L15" s="42" t="str">
        <f t="shared" si="1"/>
        <v/>
      </c>
      <c r="M15" s="42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2"/>
      <c r="O15" s="42"/>
      <c r="P15" s="42"/>
      <c r="Q15" s="42"/>
      <c r="R15" s="42"/>
      <c r="S15" s="42"/>
      <c r="T15" s="42" t="str">
        <f t="shared" si="2"/>
        <v>未入力</v>
      </c>
      <c r="U15" s="42" t="str">
        <f t="shared" si="3"/>
        <v/>
      </c>
      <c r="V15" s="42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42"/>
      <c r="X15" s="42"/>
      <c r="Y15" s="42"/>
      <c r="Z15" s="42"/>
      <c r="AA15" s="42"/>
      <c r="AB15" s="42"/>
      <c r="AC15" s="42"/>
      <c r="AD15" s="42" t="str">
        <f t="shared" si="4"/>
        <v>未入力</v>
      </c>
      <c r="AE15" s="42" t="str">
        <f t="shared" si="5"/>
        <v/>
      </c>
      <c r="AF15" s="42" t="str" cm="1">
        <f t="array" aca="1" ref="AF15" ca="1">IF(AE15 = "","",IF(AE15&gt;=INDEX(採点基準_観点別!$C$3:$C$1000,_xlfn.XMATCH(MID(CELL("filename",$A$1),FIND("]",CELL("filename",$A$1))+1,31)&amp;$F$1,採点基準_観点別!$F$3:$F$1000)),"A",IF(AE15&gt;=INDEX(採点基準_観点別!$D$3:$D$1000,_xlfn.XMATCH(MID(CELL("filename",$A$1),FIND("]",CELL("filename",$A$1))+1,31)&amp;$F$1,採点基準_観点別!$F$3:$F$1000)),"B",IF(AE15&lt;=INDEX(採点基準_観点別!$E$3:$E$1000,_xlfn.XMATCH(MID(CELL("filename",$A$1),FIND("]",CELL("filename",$A$1))+1,31)&amp;$F$1,採点基準_観点別!$F$3:$F$1000)),"C","採点基準が不正です"))))</f>
        <v/>
      </c>
    </row>
    <row r="16" spans="1:32" x14ac:dyDescent="0.4">
      <c r="A16" s="62">
        <v>12</v>
      </c>
      <c r="B16" s="62" t="s">
        <v>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/>
      <c r="T16" s="31" t="str">
        <f t="shared" si="2"/>
        <v>未入力</v>
      </c>
      <c r="U16" s="31" t="str">
        <f t="shared" si="3"/>
        <v/>
      </c>
      <c r="V16" s="31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31"/>
      <c r="X16" s="31"/>
      <c r="Y16" s="31"/>
      <c r="Z16" s="31"/>
      <c r="AA16" s="31"/>
      <c r="AB16" s="31"/>
      <c r="AC16" s="31"/>
      <c r="AD16" s="31" t="str">
        <f t="shared" si="4"/>
        <v>未入力</v>
      </c>
      <c r="AE16" s="31" t="str">
        <f t="shared" si="5"/>
        <v/>
      </c>
      <c r="AF16" s="31" t="str" cm="1">
        <f t="array" aca="1" ref="AF16" ca="1">IF(AE16 = "","",IF(AE16&gt;=INDEX(採点基準_観点別!$C$3:$C$1000,_xlfn.XMATCH(MID(CELL("filename",$A$1),FIND("]",CELL("filename",$A$1))+1,31)&amp;$F$1,採点基準_観点別!$F$3:$F$1000)),"A",IF(AE16&gt;=INDEX(採点基準_観点別!$D$3:$D$1000,_xlfn.XMATCH(MID(CELL("filename",$A$1),FIND("]",CELL("filename",$A$1))+1,31)&amp;$F$1,採点基準_観点別!$F$3:$F$1000)),"B",IF(AE16&lt;=INDEX(採点基準_観点別!$E$3:$E$1000,_xlfn.XMATCH(MID(CELL("filename",$A$1),FIND("]",CELL("filename",$A$1))+1,31)&amp;$F$1,採点基準_観点別!$F$3:$F$1000)),"C","採点基準が不正です"))))</f>
        <v/>
      </c>
    </row>
    <row r="17" spans="1:32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/>
      <c r="J17" s="42"/>
      <c r="K17" s="42" t="str">
        <f t="shared" si="0"/>
        <v>未入力</v>
      </c>
      <c r="L17" s="42" t="str">
        <f t="shared" si="1"/>
        <v/>
      </c>
      <c r="M17" s="42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2"/>
      <c r="O17" s="42"/>
      <c r="P17" s="42"/>
      <c r="Q17" s="42"/>
      <c r="R17" s="42"/>
      <c r="S17" s="42"/>
      <c r="T17" s="42" t="str">
        <f t="shared" si="2"/>
        <v>未入力</v>
      </c>
      <c r="U17" s="42" t="str">
        <f t="shared" si="3"/>
        <v/>
      </c>
      <c r="V17" s="42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42"/>
      <c r="X17" s="42"/>
      <c r="Y17" s="42"/>
      <c r="Z17" s="42"/>
      <c r="AA17" s="42"/>
      <c r="AB17" s="42"/>
      <c r="AC17" s="42"/>
      <c r="AD17" s="42" t="str">
        <f t="shared" si="4"/>
        <v>未入力</v>
      </c>
      <c r="AE17" s="42" t="str">
        <f t="shared" si="5"/>
        <v/>
      </c>
      <c r="AF17" s="42" t="str" cm="1">
        <f t="array" aca="1" ref="AF17" ca="1">IF(AE17 = "","",IF(AE17&gt;=INDEX(採点基準_観点別!$C$3:$C$1000,_xlfn.XMATCH(MID(CELL("filename",$A$1),FIND("]",CELL("filename",$A$1))+1,31)&amp;$F$1,採点基準_観点別!$F$3:$F$1000)),"A",IF(AE17&gt;=INDEX(採点基準_観点別!$D$3:$D$1000,_xlfn.XMATCH(MID(CELL("filename",$A$1),FIND("]",CELL("filename",$A$1))+1,31)&amp;$F$1,採点基準_観点別!$F$3:$F$1000)),"B",IF(AE17&lt;=INDEX(採点基準_観点別!$E$3:$E$1000,_xlfn.XMATCH(MID(CELL("filename",$A$1),FIND("]",CELL("filename",$A$1))+1,31)&amp;$F$1,採点基準_観点別!$F$3:$F$1000)),"C","採点基準が不正です"))))</f>
        <v/>
      </c>
    </row>
    <row r="18" spans="1:32" x14ac:dyDescent="0.4">
      <c r="A18" s="62">
        <v>14</v>
      </c>
      <c r="B18" s="62" t="s">
        <v>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/>
      <c r="T18" s="31" t="str">
        <f t="shared" si="2"/>
        <v>未入力</v>
      </c>
      <c r="U18" s="31" t="str">
        <f t="shared" si="3"/>
        <v/>
      </c>
      <c r="V18" s="31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31"/>
      <c r="X18" s="31"/>
      <c r="Y18" s="31"/>
      <c r="Z18" s="31"/>
      <c r="AA18" s="31"/>
      <c r="AB18" s="31"/>
      <c r="AC18" s="31"/>
      <c r="AD18" s="31" t="str">
        <f t="shared" si="4"/>
        <v>未入力</v>
      </c>
      <c r="AE18" s="31" t="str">
        <f t="shared" si="5"/>
        <v/>
      </c>
      <c r="AF18" s="31" t="str" cm="1">
        <f t="array" aca="1" ref="AF18" ca="1">IF(AE18 = "","",IF(AE18&gt;=INDEX(採点基準_観点別!$C$3:$C$1000,_xlfn.XMATCH(MID(CELL("filename",$A$1),FIND("]",CELL("filename",$A$1))+1,31)&amp;$F$1,採点基準_観点別!$F$3:$F$1000)),"A",IF(AE18&gt;=INDEX(採点基準_観点別!$D$3:$D$1000,_xlfn.XMATCH(MID(CELL("filename",$A$1),FIND("]",CELL("filename",$A$1))+1,31)&amp;$F$1,採点基準_観点別!$F$3:$F$1000)),"B",IF(AE18&lt;=INDEX(採点基準_観点別!$E$3:$E$1000,_xlfn.XMATCH(MID(CELL("filename",$A$1),FIND("]",CELL("filename",$A$1))+1,31)&amp;$F$1,採点基準_観点別!$F$3:$F$1000)),"C","採点基準が不正です"))))</f>
        <v/>
      </c>
    </row>
    <row r="19" spans="1:32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/>
      <c r="J19" s="42"/>
      <c r="K19" s="42" t="str">
        <f t="shared" si="0"/>
        <v>未入力</v>
      </c>
      <c r="L19" s="42" t="str">
        <f t="shared" si="1"/>
        <v/>
      </c>
      <c r="M19" s="42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2"/>
      <c r="O19" s="42"/>
      <c r="P19" s="42"/>
      <c r="Q19" s="42"/>
      <c r="R19" s="42"/>
      <c r="S19" s="42"/>
      <c r="T19" s="42" t="str">
        <f t="shared" si="2"/>
        <v>未入力</v>
      </c>
      <c r="U19" s="42" t="str">
        <f t="shared" si="3"/>
        <v/>
      </c>
      <c r="V19" s="42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42"/>
      <c r="X19" s="42"/>
      <c r="Y19" s="42"/>
      <c r="Z19" s="42"/>
      <c r="AA19" s="42"/>
      <c r="AB19" s="42"/>
      <c r="AC19" s="42"/>
      <c r="AD19" s="42" t="str">
        <f t="shared" si="4"/>
        <v>未入力</v>
      </c>
      <c r="AE19" s="42" t="str">
        <f t="shared" si="5"/>
        <v/>
      </c>
      <c r="AF19" s="42" t="str" cm="1">
        <f t="array" aca="1" ref="AF19" ca="1">IF(AE19 = "","",IF(AE19&gt;=INDEX(採点基準_観点別!$C$3:$C$1000,_xlfn.XMATCH(MID(CELL("filename",$A$1),FIND("]",CELL("filename",$A$1))+1,31)&amp;$F$1,採点基準_観点別!$F$3:$F$1000)),"A",IF(AE19&gt;=INDEX(採点基準_観点別!$D$3:$D$1000,_xlfn.XMATCH(MID(CELL("filename",$A$1),FIND("]",CELL("filename",$A$1))+1,31)&amp;$F$1,採点基準_観点別!$F$3:$F$1000)),"B",IF(AE19&lt;=INDEX(採点基準_観点別!$E$3:$E$1000,_xlfn.XMATCH(MID(CELL("filename",$A$1),FIND("]",CELL("filename",$A$1))+1,31)&amp;$F$1,採点基準_観点別!$F$3:$F$1000)),"C","採点基準が不正です"))))</f>
        <v/>
      </c>
    </row>
    <row r="20" spans="1:32" x14ac:dyDescent="0.4">
      <c r="A20" s="62">
        <v>14</v>
      </c>
      <c r="B20" s="62" t="s">
        <v>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/>
      <c r="T20" s="31" t="str">
        <f t="shared" si="2"/>
        <v>未入力</v>
      </c>
      <c r="U20" s="31" t="str">
        <f t="shared" si="3"/>
        <v/>
      </c>
      <c r="V20" s="31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31"/>
      <c r="X20" s="31"/>
      <c r="Y20" s="31"/>
      <c r="Z20" s="31"/>
      <c r="AA20" s="31"/>
      <c r="AB20" s="31"/>
      <c r="AC20" s="31"/>
      <c r="AD20" s="31" t="str">
        <f t="shared" si="4"/>
        <v>未入力</v>
      </c>
      <c r="AE20" s="31" t="str">
        <f t="shared" si="5"/>
        <v/>
      </c>
      <c r="AF20" s="31" t="str" cm="1">
        <f t="array" aca="1" ref="AF20" ca="1">IF(AE20 = "","",IF(AE20&gt;=INDEX(採点基準_観点別!$C$3:$C$1000,_xlfn.XMATCH(MID(CELL("filename",$A$1),FIND("]",CELL("filename",$A$1))+1,31)&amp;$F$1,採点基準_観点別!$F$3:$F$1000)),"A",IF(AE20&gt;=INDEX(採点基準_観点別!$D$3:$D$1000,_xlfn.XMATCH(MID(CELL("filename",$A$1),FIND("]",CELL("filename",$A$1))+1,31)&amp;$F$1,採点基準_観点別!$F$3:$F$1000)),"B",IF(AE20&lt;=INDEX(採点基準_観点別!$E$3:$E$1000,_xlfn.XMATCH(MID(CELL("filename",$A$1),FIND("]",CELL("filename",$A$1))+1,31)&amp;$F$1,採点基準_観点別!$F$3:$F$1000)),"C","採点基準が不正です"))))</f>
        <v/>
      </c>
    </row>
    <row r="21" spans="1:32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/>
      <c r="J21" s="42"/>
      <c r="K21" s="42" t="str">
        <f t="shared" si="0"/>
        <v>未入力</v>
      </c>
      <c r="L21" s="42" t="str">
        <f t="shared" si="1"/>
        <v/>
      </c>
      <c r="M21" s="42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2"/>
      <c r="O21" s="42"/>
      <c r="P21" s="42"/>
      <c r="Q21" s="42"/>
      <c r="R21" s="42"/>
      <c r="S21" s="42"/>
      <c r="T21" s="42" t="str">
        <f t="shared" si="2"/>
        <v>未入力</v>
      </c>
      <c r="U21" s="42" t="str">
        <f t="shared" si="3"/>
        <v/>
      </c>
      <c r="V21" s="42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42"/>
      <c r="X21" s="42"/>
      <c r="Y21" s="42"/>
      <c r="Z21" s="42"/>
      <c r="AA21" s="42"/>
      <c r="AB21" s="42"/>
      <c r="AC21" s="42"/>
      <c r="AD21" s="42" t="str">
        <f t="shared" si="4"/>
        <v>未入力</v>
      </c>
      <c r="AE21" s="42" t="str">
        <f t="shared" si="5"/>
        <v/>
      </c>
      <c r="AF21" s="42" t="str" cm="1">
        <f t="array" aca="1" ref="AF21" ca="1">IF(AE21 = "","",IF(AE21&gt;=INDEX(採点基準_観点別!$C$3:$C$1000,_xlfn.XMATCH(MID(CELL("filename",$A$1),FIND("]",CELL("filename",$A$1))+1,31)&amp;$F$1,採点基準_観点別!$F$3:$F$1000)),"A",IF(AE21&gt;=INDEX(採点基準_観点別!$D$3:$D$1000,_xlfn.XMATCH(MID(CELL("filename",$A$1),FIND("]",CELL("filename",$A$1))+1,31)&amp;$F$1,採点基準_観点別!$F$3:$F$1000)),"B",IF(AE21&lt;=INDEX(採点基準_観点別!$E$3:$E$1000,_xlfn.XMATCH(MID(CELL("filename",$A$1),FIND("]",CELL("filename",$A$1))+1,31)&amp;$F$1,採点基準_観点別!$F$3:$F$1000)),"C","採点基準が不正です"))))</f>
        <v/>
      </c>
    </row>
    <row r="22" spans="1:32" x14ac:dyDescent="0.4">
      <c r="A22" s="62">
        <v>14</v>
      </c>
      <c r="B22" s="62" t="s">
        <v>2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/>
      <c r="T22" s="31" t="str">
        <f t="shared" si="2"/>
        <v>未入力</v>
      </c>
      <c r="U22" s="31" t="str">
        <f t="shared" si="3"/>
        <v/>
      </c>
      <c r="V22" s="31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31"/>
      <c r="X22" s="31"/>
      <c r="Y22" s="31"/>
      <c r="Z22" s="31"/>
      <c r="AA22" s="31"/>
      <c r="AB22" s="31"/>
      <c r="AC22" s="31"/>
      <c r="AD22" s="31" t="str">
        <f t="shared" si="4"/>
        <v>未入力</v>
      </c>
      <c r="AE22" s="31" t="str">
        <f t="shared" si="5"/>
        <v/>
      </c>
      <c r="AF22" s="31" t="str" cm="1">
        <f t="array" aca="1" ref="AF22" ca="1">IF(AE22 = "","",IF(AE22&gt;=INDEX(採点基準_観点別!$C$3:$C$1000,_xlfn.XMATCH(MID(CELL("filename",$A$1),FIND("]",CELL("filename",$A$1))+1,31)&amp;$F$1,採点基準_観点別!$F$3:$F$1000)),"A",IF(AE22&gt;=INDEX(採点基準_観点別!$D$3:$D$1000,_xlfn.XMATCH(MID(CELL("filename",$A$1),FIND("]",CELL("filename",$A$1))+1,31)&amp;$F$1,採点基準_観点別!$F$3:$F$1000)),"B",IF(AE22&lt;=INDEX(採点基準_観点別!$E$3:$E$1000,_xlfn.XMATCH(MID(CELL("filename",$A$1),FIND("]",CELL("filename",$A$1))+1,31)&amp;$F$1,採点基準_観点別!$F$3:$F$1000)),"C","採点基準が不正です"))))</f>
        <v/>
      </c>
    </row>
    <row r="23" spans="1:32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/>
      <c r="J23" s="42"/>
      <c r="K23" s="42" t="str">
        <f t="shared" si="0"/>
        <v>未入力</v>
      </c>
      <c r="L23" s="42" t="str">
        <f t="shared" si="1"/>
        <v/>
      </c>
      <c r="M23" s="42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2"/>
      <c r="O23" s="42"/>
      <c r="P23" s="42"/>
      <c r="Q23" s="42"/>
      <c r="R23" s="42"/>
      <c r="S23" s="42"/>
      <c r="T23" s="42" t="str">
        <f t="shared" si="2"/>
        <v>未入力</v>
      </c>
      <c r="U23" s="42" t="str">
        <f t="shared" si="3"/>
        <v/>
      </c>
      <c r="V23" s="42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42"/>
      <c r="X23" s="42"/>
      <c r="Y23" s="42"/>
      <c r="Z23" s="42"/>
      <c r="AA23" s="42"/>
      <c r="AB23" s="42"/>
      <c r="AC23" s="42"/>
      <c r="AD23" s="42" t="str">
        <f t="shared" si="4"/>
        <v>未入力</v>
      </c>
      <c r="AE23" s="42" t="str">
        <f t="shared" si="5"/>
        <v/>
      </c>
      <c r="AF23" s="42" t="str" cm="1">
        <f t="array" aca="1" ref="AF23" ca="1">IF(AE23 = "","",IF(AE23&gt;=INDEX(採点基準_観点別!$C$3:$C$1000,_xlfn.XMATCH(MID(CELL("filename",$A$1),FIND("]",CELL("filename",$A$1))+1,31)&amp;$F$1,採点基準_観点別!$F$3:$F$1000)),"A",IF(AE23&gt;=INDEX(採点基準_観点別!$D$3:$D$1000,_xlfn.XMATCH(MID(CELL("filename",$A$1),FIND("]",CELL("filename",$A$1))+1,31)&amp;$F$1,採点基準_観点別!$F$3:$F$1000)),"B",IF(AE23&lt;=INDEX(採点基準_観点別!$E$3:$E$1000,_xlfn.XMATCH(MID(CELL("filename",$A$1),FIND("]",CELL("filename",$A$1))+1,31)&amp;$F$1,採点基準_観点別!$F$3:$F$1000)),"C","採点基準が不正です"))))</f>
        <v/>
      </c>
    </row>
    <row r="24" spans="1:32" x14ac:dyDescent="0.4">
      <c r="A24" s="62">
        <v>14</v>
      </c>
      <c r="B24" s="62" t="s">
        <v>2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/>
      <c r="T24" s="31" t="str">
        <f t="shared" si="2"/>
        <v>未入力</v>
      </c>
      <c r="U24" s="31" t="str">
        <f t="shared" si="3"/>
        <v/>
      </c>
      <c r="V24" s="31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31"/>
      <c r="X24" s="31"/>
      <c r="Y24" s="31"/>
      <c r="Z24" s="31"/>
      <c r="AA24" s="31"/>
      <c r="AB24" s="31"/>
      <c r="AC24" s="31"/>
      <c r="AD24" s="31" t="str">
        <f t="shared" si="4"/>
        <v>未入力</v>
      </c>
      <c r="AE24" s="31" t="str">
        <f t="shared" si="5"/>
        <v/>
      </c>
      <c r="AF24" s="31" t="str" cm="1">
        <f t="array" aca="1" ref="AF24" ca="1">IF(AE24 = "","",IF(AE24&gt;=INDEX(採点基準_観点別!$C$3:$C$1000,_xlfn.XMATCH(MID(CELL("filename",$A$1),FIND("]",CELL("filename",$A$1))+1,31)&amp;$F$1,採点基準_観点別!$F$3:$F$1000)),"A",IF(AE24&gt;=INDEX(採点基準_観点別!$D$3:$D$1000,_xlfn.XMATCH(MID(CELL("filename",$A$1),FIND("]",CELL("filename",$A$1))+1,31)&amp;$F$1,採点基準_観点別!$F$3:$F$1000)),"B",IF(AE24&lt;=INDEX(採点基準_観点別!$E$3:$E$1000,_xlfn.XMATCH(MID(CELL("filename",$A$1),FIND("]",CELL("filename",$A$1))+1,31)&amp;$F$1,採点基準_観点別!$F$3:$F$1000)),"C","採点基準が不正です"))))</f>
        <v/>
      </c>
    </row>
    <row r="25" spans="1:32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/>
      <c r="J25" s="42"/>
      <c r="K25" s="42" t="str">
        <f t="shared" si="0"/>
        <v>未入力</v>
      </c>
      <c r="L25" s="42" t="str">
        <f t="shared" si="1"/>
        <v/>
      </c>
      <c r="M25" s="42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2"/>
      <c r="O25" s="42"/>
      <c r="P25" s="42"/>
      <c r="Q25" s="42"/>
      <c r="R25" s="42"/>
      <c r="S25" s="42"/>
      <c r="T25" s="42" t="str">
        <f t="shared" si="2"/>
        <v>未入力</v>
      </c>
      <c r="U25" s="42" t="str">
        <f t="shared" si="3"/>
        <v/>
      </c>
      <c r="V25" s="42" t="str" cm="1">
        <f t="array" aca="1" ref="V25" ca="1">IF(U25 = "","",IF(U25&gt;=INDEX(採点基準_観点別!$C$3:$C$1000,_xlfn.XMATCH(MID(CELL("filename",$A$1),FIND("]",CELL("filename",$A$1))+1,31)&amp;$F$1,採点基準_観点別!$F$3:$F$1000)),"A",IF(U25&gt;=INDEX(採点基準_観点別!$D$3:$D$1000,_xlfn.XMATCH(MID(CELL("filename",$A$1),FIND("]",CELL("filename",$A$1))+1,31)&amp;$F$1,採点基準_観点別!$F$3:$F$1000)),"B",IF(U25&lt;=INDEX(採点基準_観点別!$E$3:$E$1000,_xlfn.XMATCH(MID(CELL("filename",$A$1),FIND("]",CELL("filename",$A$1))+1,31)&amp;$F$1,採点基準_観点別!$F$3:$F$1000)),"C","採点基準が不正です"))))</f>
        <v/>
      </c>
      <c r="W25" s="42"/>
      <c r="X25" s="42"/>
      <c r="Y25" s="42"/>
      <c r="Z25" s="42"/>
      <c r="AA25" s="42"/>
      <c r="AB25" s="42"/>
      <c r="AC25" s="42"/>
      <c r="AD25" s="42" t="str">
        <f t="shared" si="4"/>
        <v>未入力</v>
      </c>
      <c r="AE25" s="42" t="str">
        <f t="shared" si="5"/>
        <v/>
      </c>
      <c r="AF25" s="42" t="str" cm="1">
        <f t="array" aca="1" ref="AF25" ca="1">IF(AE25 = "","",IF(AE25&gt;=INDEX(採点基準_観点別!$C$3:$C$1000,_xlfn.XMATCH(MID(CELL("filename",$A$1),FIND("]",CELL("filename",$A$1))+1,31)&amp;$F$1,採点基準_観点別!$F$3:$F$1000)),"A",IF(AE25&gt;=INDEX(採点基準_観点別!$D$3:$D$1000,_xlfn.XMATCH(MID(CELL("filename",$A$1),FIND("]",CELL("filename",$A$1))+1,31)&amp;$F$1,採点基準_観点別!$F$3:$F$1000)),"B",IF(AE25&lt;=INDEX(採点基準_観点別!$E$3:$E$1000,_xlfn.XMATCH(MID(CELL("filename",$A$1),FIND("]",CELL("filename",$A$1))+1,31)&amp;$F$1,採点基準_観点別!$F$3:$F$1000)),"C","採点基準が不正です"))))</f>
        <v/>
      </c>
    </row>
    <row r="26" spans="1:32" x14ac:dyDescent="0.4">
      <c r="A26" s="62">
        <v>14</v>
      </c>
      <c r="B26" s="62" t="s">
        <v>2</v>
      </c>
      <c r="C26" s="31"/>
      <c r="D26" s="31"/>
      <c r="E26" s="31"/>
      <c r="F26" s="31"/>
      <c r="G26" s="31"/>
      <c r="H26" s="31"/>
      <c r="I26" s="31"/>
      <c r="J26" s="31"/>
      <c r="K26" s="31" t="str">
        <f t="shared" si="0"/>
        <v>未入力</v>
      </c>
      <c r="L26" s="31" t="str">
        <f t="shared" si="1"/>
        <v/>
      </c>
      <c r="M26" s="31" t="str" cm="1">
        <f t="array" aca="1" ref="M26" ca="1">IF(L26 = "","",IF(L26&gt;=INDEX(採点基準_観点別!$C$3:$C$1000,_xlfn.XMATCH(MID(CELL("filename",$A$1),FIND("]",CELL("filename",$A$1))+1,31)&amp;$F$1,採点基準_観点別!$F$3:$F$1000)),"A",IF(L26&gt;=INDEX(採点基準_観点別!$D$3:$D$1000,_xlfn.XMATCH(MID(CELL("filename",$A$1),FIND("]",CELL("filename",$A$1))+1,31)&amp;$F$1,採点基準_観点別!$F$3:$F$1000)),"B",IF(L26&lt;=INDEX(採点基準_観点別!$E$3:$E$1000,_xlfn.XMATCH(MID(CELL("filename",$A$1),FIND("]",CELL("filename",$A$1))+1,31)&amp;$F$1,採点基準_観点別!$F$3:$F$1000)),"C","採点基準が不正です"))))</f>
        <v/>
      </c>
      <c r="N26" s="31"/>
      <c r="O26" s="31"/>
      <c r="P26" s="31"/>
      <c r="Q26" s="31"/>
      <c r="R26" s="31"/>
      <c r="S26" s="31"/>
      <c r="T26" s="31" t="str">
        <f t="shared" si="2"/>
        <v>未入力</v>
      </c>
      <c r="U26" s="31" t="str">
        <f t="shared" si="3"/>
        <v/>
      </c>
      <c r="V26" s="31" t="str" cm="1">
        <f t="array" aca="1" ref="V26" ca="1">IF(U26 = "","",IF(U26&gt;=INDEX(採点基準_観点別!$C$3:$C$1000,_xlfn.XMATCH(MID(CELL("filename",$A$1),FIND("]",CELL("filename",$A$1))+1,31)&amp;$F$1,採点基準_観点別!$F$3:$F$1000)),"A",IF(U26&gt;=INDEX(採点基準_観点別!$D$3:$D$1000,_xlfn.XMATCH(MID(CELL("filename",$A$1),FIND("]",CELL("filename",$A$1))+1,31)&amp;$F$1,採点基準_観点別!$F$3:$F$1000)),"B",IF(U26&lt;=INDEX(採点基準_観点別!$E$3:$E$1000,_xlfn.XMATCH(MID(CELL("filename",$A$1),FIND("]",CELL("filename",$A$1))+1,31)&amp;$F$1,採点基準_観点別!$F$3:$F$1000)),"C","採点基準が不正です"))))</f>
        <v/>
      </c>
      <c r="W26" s="31"/>
      <c r="X26" s="31"/>
      <c r="Y26" s="31"/>
      <c r="Z26" s="31"/>
      <c r="AA26" s="31"/>
      <c r="AB26" s="31"/>
      <c r="AC26" s="31"/>
      <c r="AD26" s="31" t="str">
        <f t="shared" si="4"/>
        <v>未入力</v>
      </c>
      <c r="AE26" s="31" t="str">
        <f t="shared" si="5"/>
        <v/>
      </c>
      <c r="AF26" s="31" t="str" cm="1">
        <f t="array" aca="1" ref="AF26" ca="1">IF(AE26 = "","",IF(AE26&gt;=INDEX(採点基準_観点別!$C$3:$C$1000,_xlfn.XMATCH(MID(CELL("filename",$A$1),FIND("]",CELL("filename",$A$1))+1,31)&amp;$F$1,採点基準_観点別!$F$3:$F$1000)),"A",IF(AE26&gt;=INDEX(採点基準_観点別!$D$3:$D$1000,_xlfn.XMATCH(MID(CELL("filename",$A$1),FIND("]",CELL("filename",$A$1))+1,31)&amp;$F$1,採点基準_観点別!$F$3:$F$1000)),"B",IF(AE26&lt;=INDEX(採点基準_観点別!$E$3:$E$1000,_xlfn.XMATCH(MID(CELL("filename",$A$1),FIND("]",CELL("filename",$A$1))+1,31)&amp;$F$1,採点基準_観点別!$F$3:$F$1000)),"C","採点基準が不正です"))))</f>
        <v/>
      </c>
    </row>
    <row r="27" spans="1:32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/>
      <c r="J27" s="42"/>
      <c r="K27" s="42" t="str">
        <f t="shared" si="0"/>
        <v>未入力</v>
      </c>
      <c r="L27" s="42" t="str">
        <f t="shared" si="1"/>
        <v/>
      </c>
      <c r="M27" s="42" t="str" cm="1">
        <f t="array" aca="1" ref="M27" ca="1">IF(L27 = "","",IF(L27&gt;=INDEX(採点基準_観点別!$C$3:$C$1000,_xlfn.XMATCH(MID(CELL("filename",$A$1),FIND("]",CELL("filename",$A$1))+1,31)&amp;$F$1,採点基準_観点別!$F$3:$F$1000)),"A",IF(L27&gt;=INDEX(採点基準_観点別!$D$3:$D$1000,_xlfn.XMATCH(MID(CELL("filename",$A$1),FIND("]",CELL("filename",$A$1))+1,31)&amp;$F$1,採点基準_観点別!$F$3:$F$1000)),"B",IF(L27&lt;=INDEX(採点基準_観点別!$E$3:$E$1000,_xlfn.XMATCH(MID(CELL("filename",$A$1),FIND("]",CELL("filename",$A$1))+1,31)&amp;$F$1,採点基準_観点別!$F$3:$F$1000)),"C","採点基準が不正です"))))</f>
        <v/>
      </c>
      <c r="N27" s="42"/>
      <c r="O27" s="42"/>
      <c r="P27" s="42"/>
      <c r="Q27" s="42"/>
      <c r="R27" s="42"/>
      <c r="S27" s="42"/>
      <c r="T27" s="42" t="str">
        <f t="shared" si="2"/>
        <v>未入力</v>
      </c>
      <c r="U27" s="42" t="str">
        <f t="shared" si="3"/>
        <v/>
      </c>
      <c r="V27" s="42" t="str" cm="1">
        <f t="array" aca="1" ref="V27" ca="1">IF(U27 = "","",IF(U27&gt;=INDEX(採点基準_観点別!$C$3:$C$1000,_xlfn.XMATCH(MID(CELL("filename",$A$1),FIND("]",CELL("filename",$A$1))+1,31)&amp;$F$1,採点基準_観点別!$F$3:$F$1000)),"A",IF(U27&gt;=INDEX(採点基準_観点別!$D$3:$D$1000,_xlfn.XMATCH(MID(CELL("filename",$A$1),FIND("]",CELL("filename",$A$1))+1,31)&amp;$F$1,採点基準_観点別!$F$3:$F$1000)),"B",IF(U27&lt;=INDEX(採点基準_観点別!$E$3:$E$1000,_xlfn.XMATCH(MID(CELL("filename",$A$1),FIND("]",CELL("filename",$A$1))+1,31)&amp;$F$1,採点基準_観点別!$F$3:$F$1000)),"C","採点基準が不正です"))))</f>
        <v/>
      </c>
      <c r="W27" s="42"/>
      <c r="X27" s="42"/>
      <c r="Y27" s="42"/>
      <c r="Z27" s="42"/>
      <c r="AA27" s="42"/>
      <c r="AB27" s="42"/>
      <c r="AC27" s="42"/>
      <c r="AD27" s="42" t="str">
        <f t="shared" si="4"/>
        <v>未入力</v>
      </c>
      <c r="AE27" s="42" t="str">
        <f t="shared" si="5"/>
        <v/>
      </c>
      <c r="AF27" s="42" t="str" cm="1">
        <f t="array" aca="1" ref="AF27" ca="1">IF(AE27 = "","",IF(AE27&gt;=INDEX(採点基準_観点別!$C$3:$C$1000,_xlfn.XMATCH(MID(CELL("filename",$A$1),FIND("]",CELL("filename",$A$1))+1,31)&amp;$F$1,採点基準_観点別!$F$3:$F$1000)),"A",IF(AE27&gt;=INDEX(採点基準_観点別!$D$3:$D$1000,_xlfn.XMATCH(MID(CELL("filename",$A$1),FIND("]",CELL("filename",$A$1))+1,31)&amp;$F$1,採点基準_観点別!$F$3:$F$1000)),"B",IF(AE27&lt;=INDEX(採点基準_観点別!$E$3:$E$1000,_xlfn.XMATCH(MID(CELL("filename",$A$1),FIND("]",CELL("filename",$A$1))+1,31)&amp;$F$1,採点基準_観点別!$F$3:$F$1000)),"C","採点基準が不正です"))))</f>
        <v/>
      </c>
    </row>
    <row r="28" spans="1:32" x14ac:dyDescent="0.4">
      <c r="A28" s="62">
        <v>14</v>
      </c>
      <c r="B28" s="62" t="s">
        <v>2</v>
      </c>
      <c r="C28" s="31"/>
      <c r="D28" s="31"/>
      <c r="E28" s="31"/>
      <c r="F28" s="31"/>
      <c r="G28" s="31"/>
      <c r="H28" s="31"/>
      <c r="I28" s="31"/>
      <c r="J28" s="31"/>
      <c r="K28" s="31" t="str">
        <f t="shared" si="0"/>
        <v>未入力</v>
      </c>
      <c r="L28" s="31" t="str">
        <f t="shared" si="1"/>
        <v/>
      </c>
      <c r="M28" s="31" t="str" cm="1">
        <f t="array" aca="1" ref="M28" ca="1">IF(L28 = "","",IF(L28&gt;=INDEX(採点基準_観点別!$C$3:$C$1000,_xlfn.XMATCH(MID(CELL("filename",$A$1),FIND("]",CELL("filename",$A$1))+1,31)&amp;$F$1,採点基準_観点別!$F$3:$F$1000)),"A",IF(L28&gt;=INDEX(採点基準_観点別!$D$3:$D$1000,_xlfn.XMATCH(MID(CELL("filename",$A$1),FIND("]",CELL("filename",$A$1))+1,31)&amp;$F$1,採点基準_観点別!$F$3:$F$1000)),"B",IF(L28&lt;=INDEX(採点基準_観点別!$E$3:$E$1000,_xlfn.XMATCH(MID(CELL("filename",$A$1),FIND("]",CELL("filename",$A$1))+1,31)&amp;$F$1,採点基準_観点別!$F$3:$F$1000)),"C","採点基準が不正です"))))</f>
        <v/>
      </c>
      <c r="N28" s="31"/>
      <c r="O28" s="31"/>
      <c r="P28" s="31"/>
      <c r="Q28" s="31"/>
      <c r="R28" s="31"/>
      <c r="S28" s="31"/>
      <c r="T28" s="31" t="str">
        <f t="shared" si="2"/>
        <v>未入力</v>
      </c>
      <c r="U28" s="31" t="str">
        <f t="shared" si="3"/>
        <v/>
      </c>
      <c r="V28" s="31" t="str" cm="1">
        <f t="array" aca="1" ref="V28" ca="1">IF(U28 = "","",IF(U28&gt;=INDEX(採点基準_観点別!$C$3:$C$1000,_xlfn.XMATCH(MID(CELL("filename",$A$1),FIND("]",CELL("filename",$A$1))+1,31)&amp;$F$1,採点基準_観点別!$F$3:$F$1000)),"A",IF(U28&gt;=INDEX(採点基準_観点別!$D$3:$D$1000,_xlfn.XMATCH(MID(CELL("filename",$A$1),FIND("]",CELL("filename",$A$1))+1,31)&amp;$F$1,採点基準_観点別!$F$3:$F$1000)),"B",IF(U28&lt;=INDEX(採点基準_観点別!$E$3:$E$1000,_xlfn.XMATCH(MID(CELL("filename",$A$1),FIND("]",CELL("filename",$A$1))+1,31)&amp;$F$1,採点基準_観点別!$F$3:$F$1000)),"C","採点基準が不正です"))))</f>
        <v/>
      </c>
      <c r="W28" s="31"/>
      <c r="X28" s="31"/>
      <c r="Y28" s="31"/>
      <c r="Z28" s="31"/>
      <c r="AA28" s="31"/>
      <c r="AB28" s="31"/>
      <c r="AC28" s="31"/>
      <c r="AD28" s="31" t="str">
        <f t="shared" si="4"/>
        <v>未入力</v>
      </c>
      <c r="AE28" s="31" t="str">
        <f t="shared" si="5"/>
        <v/>
      </c>
      <c r="AF28" s="31" t="str" cm="1">
        <f t="array" aca="1" ref="AF28" ca="1">IF(AE28 = "","",IF(AE28&gt;=INDEX(採点基準_観点別!$C$3:$C$1000,_xlfn.XMATCH(MID(CELL("filename",$A$1),FIND("]",CELL("filename",$A$1))+1,31)&amp;$F$1,採点基準_観点別!$F$3:$F$1000)),"A",IF(AE28&gt;=INDEX(採点基準_観点別!$D$3:$D$1000,_xlfn.XMATCH(MID(CELL("filename",$A$1),FIND("]",CELL("filename",$A$1))+1,31)&amp;$F$1,採点基準_観点別!$F$3:$F$1000)),"B",IF(AE28&lt;=INDEX(採点基準_観点別!$E$3:$E$1000,_xlfn.XMATCH(MID(CELL("filename",$A$1),FIND("]",CELL("filename",$A$1))+1,31)&amp;$F$1,採点基準_観点別!$F$3:$F$1000)),"C","採点基準が不正です"))))</f>
        <v/>
      </c>
    </row>
    <row r="29" spans="1:32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/>
      <c r="J29" s="42"/>
      <c r="K29" s="42" t="str">
        <f t="shared" si="0"/>
        <v>未入力</v>
      </c>
      <c r="L29" s="42" t="str">
        <f t="shared" si="1"/>
        <v/>
      </c>
      <c r="M29" s="42" t="str" cm="1">
        <f t="array" aca="1" ref="M29" ca="1">IF(L29 = "","",IF(L29&gt;=INDEX(採点基準_観点別!$C$3:$C$1000,_xlfn.XMATCH(MID(CELL("filename",$A$1),FIND("]",CELL("filename",$A$1))+1,31)&amp;$F$1,採点基準_観点別!$F$3:$F$1000)),"A",IF(L29&gt;=INDEX(採点基準_観点別!$D$3:$D$1000,_xlfn.XMATCH(MID(CELL("filename",$A$1),FIND("]",CELL("filename",$A$1))+1,31)&amp;$F$1,採点基準_観点別!$F$3:$F$1000)),"B",IF(L29&lt;=INDEX(採点基準_観点別!$E$3:$E$1000,_xlfn.XMATCH(MID(CELL("filename",$A$1),FIND("]",CELL("filename",$A$1))+1,31)&amp;$F$1,採点基準_観点別!$F$3:$F$1000)),"C","採点基準が不正です"))))</f>
        <v/>
      </c>
      <c r="N29" s="42"/>
      <c r="O29" s="42"/>
      <c r="P29" s="42"/>
      <c r="Q29" s="42"/>
      <c r="R29" s="42"/>
      <c r="S29" s="42"/>
      <c r="T29" s="42" t="str">
        <f t="shared" si="2"/>
        <v>未入力</v>
      </c>
      <c r="U29" s="42" t="str">
        <f t="shared" si="3"/>
        <v/>
      </c>
      <c r="V29" s="42" t="str" cm="1">
        <f t="array" aca="1" ref="V29" ca="1">IF(U29 = "","",IF(U29&gt;=INDEX(採点基準_観点別!$C$3:$C$1000,_xlfn.XMATCH(MID(CELL("filename",$A$1),FIND("]",CELL("filename",$A$1))+1,31)&amp;$F$1,採点基準_観点別!$F$3:$F$1000)),"A",IF(U29&gt;=INDEX(採点基準_観点別!$D$3:$D$1000,_xlfn.XMATCH(MID(CELL("filename",$A$1),FIND("]",CELL("filename",$A$1))+1,31)&amp;$F$1,採点基準_観点別!$F$3:$F$1000)),"B",IF(U29&lt;=INDEX(採点基準_観点別!$E$3:$E$1000,_xlfn.XMATCH(MID(CELL("filename",$A$1),FIND("]",CELL("filename",$A$1))+1,31)&amp;$F$1,採点基準_観点別!$F$3:$F$1000)),"C","採点基準が不正です"))))</f>
        <v/>
      </c>
      <c r="W29" s="42"/>
      <c r="X29" s="42"/>
      <c r="Y29" s="42"/>
      <c r="Z29" s="42"/>
      <c r="AA29" s="42"/>
      <c r="AB29" s="42"/>
      <c r="AC29" s="42"/>
      <c r="AD29" s="42" t="str">
        <f t="shared" si="4"/>
        <v>未入力</v>
      </c>
      <c r="AE29" s="42" t="str">
        <f t="shared" si="5"/>
        <v/>
      </c>
      <c r="AF29" s="42" t="str" cm="1">
        <f t="array" aca="1" ref="AF29" ca="1">IF(AE29 = "","",IF(AE29&gt;=INDEX(採点基準_観点別!$C$3:$C$1000,_xlfn.XMATCH(MID(CELL("filename",$A$1),FIND("]",CELL("filename",$A$1))+1,31)&amp;$F$1,採点基準_観点別!$F$3:$F$1000)),"A",IF(AE29&gt;=INDEX(採点基準_観点別!$D$3:$D$1000,_xlfn.XMATCH(MID(CELL("filename",$A$1),FIND("]",CELL("filename",$A$1))+1,31)&amp;$F$1,採点基準_観点別!$F$3:$F$1000)),"B",IF(AE29&lt;=INDEX(採点基準_観点別!$E$3:$E$1000,_xlfn.XMATCH(MID(CELL("filename",$A$1),FIND("]",CELL("filename",$A$1))+1,31)&amp;$F$1,採点基準_観点別!$F$3:$F$1000)),"C","採点基準が不正です"))))</f>
        <v/>
      </c>
    </row>
    <row r="30" spans="1:32" x14ac:dyDescent="0.4">
      <c r="A30" s="41"/>
      <c r="B30" s="62" t="s">
        <v>2</v>
      </c>
      <c r="C30" s="31"/>
      <c r="D30" s="31"/>
      <c r="E30" s="31"/>
      <c r="F30" s="31"/>
      <c r="G30" s="31"/>
      <c r="H30" s="31"/>
      <c r="I30" s="31"/>
      <c r="J30" s="31"/>
      <c r="K30" s="31" t="str">
        <f t="shared" si="0"/>
        <v>未入力</v>
      </c>
      <c r="L30" s="31" t="str">
        <f t="shared" si="1"/>
        <v/>
      </c>
      <c r="M30" s="31" t="str" cm="1">
        <f t="array" aca="1" ref="M30" ca="1">IF(L30 = "","",IF(L30&gt;=INDEX(採点基準_観点別!$C$3:$C$1000,_xlfn.XMATCH(MID(CELL("filename",$A$1),FIND("]",CELL("filename",$A$1))+1,31)&amp;$F$1,採点基準_観点別!$F$3:$F$1000)),"A",IF(L30&gt;=INDEX(採点基準_観点別!$D$3:$D$1000,_xlfn.XMATCH(MID(CELL("filename",$A$1),FIND("]",CELL("filename",$A$1))+1,31)&amp;$F$1,採点基準_観点別!$F$3:$F$1000)),"B",IF(L30&lt;=INDEX(採点基準_観点別!$E$3:$E$1000,_xlfn.XMATCH(MID(CELL("filename",$A$1),FIND("]",CELL("filename",$A$1))+1,31)&amp;$F$1,採点基準_観点別!$F$3:$F$1000)),"C","採点基準が不正です"))))</f>
        <v/>
      </c>
      <c r="N30" s="31"/>
      <c r="O30" s="31"/>
      <c r="P30" s="31"/>
      <c r="Q30" s="31"/>
      <c r="R30" s="31"/>
      <c r="S30" s="31"/>
      <c r="T30" s="31" t="str">
        <f t="shared" si="2"/>
        <v>未入力</v>
      </c>
      <c r="U30" s="31" t="str">
        <f t="shared" si="3"/>
        <v/>
      </c>
      <c r="V30" s="31" t="str" cm="1">
        <f t="array" aca="1" ref="V30" ca="1">IF(U30 = "","",IF(U30&gt;=INDEX(採点基準_観点別!$C$3:$C$1000,_xlfn.XMATCH(MID(CELL("filename",$A$1),FIND("]",CELL("filename",$A$1))+1,31)&amp;$F$1,採点基準_観点別!$F$3:$F$1000)),"A",IF(U30&gt;=INDEX(採点基準_観点別!$D$3:$D$1000,_xlfn.XMATCH(MID(CELL("filename",$A$1),FIND("]",CELL("filename",$A$1))+1,31)&amp;$F$1,採点基準_観点別!$F$3:$F$1000)),"B",IF(U30&lt;=INDEX(採点基準_観点別!$E$3:$E$1000,_xlfn.XMATCH(MID(CELL("filename",$A$1),FIND("]",CELL("filename",$A$1))+1,31)&amp;$F$1,採点基準_観点別!$F$3:$F$1000)),"C","採点基準が不正です"))))</f>
        <v/>
      </c>
      <c r="W30" s="31"/>
      <c r="X30" s="31"/>
      <c r="Y30" s="31"/>
      <c r="Z30" s="31"/>
      <c r="AA30" s="31"/>
      <c r="AB30" s="31"/>
      <c r="AC30" s="31"/>
      <c r="AD30" s="31" t="str">
        <f t="shared" si="4"/>
        <v>未入力</v>
      </c>
      <c r="AE30" s="31" t="str">
        <f t="shared" si="5"/>
        <v/>
      </c>
      <c r="AF30" s="31" t="str" cm="1">
        <f t="array" aca="1" ref="AF30" ca="1">IF(AE30 = "","",IF(AE30&gt;=INDEX(採点基準_観点別!$C$3:$C$1000,_xlfn.XMATCH(MID(CELL("filename",$A$1),FIND("]",CELL("filename",$A$1))+1,31)&amp;$F$1,採点基準_観点別!$F$3:$F$1000)),"A",IF(AE30&gt;=INDEX(採点基準_観点別!$D$3:$D$1000,_xlfn.XMATCH(MID(CELL("filename",$A$1),FIND("]",CELL("filename",$A$1))+1,31)&amp;$F$1,採点基準_観点別!$F$3:$F$1000)),"B",IF(AE30&lt;=INDEX(採点基準_観点別!$E$3:$E$1000,_xlfn.XMATCH(MID(CELL("filename",$A$1),FIND("]",CELL("filename",$A$1))+1,31)&amp;$F$1,採点基準_観点別!$F$3:$F$1000)),"C","採点基準が不正です"))))</f>
        <v/>
      </c>
    </row>
    <row r="31" spans="1:32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/>
      <c r="J31" s="42"/>
      <c r="K31" s="42" t="str">
        <f t="shared" si="0"/>
        <v>未入力</v>
      </c>
      <c r="L31" s="42" t="str">
        <f t="shared" si="1"/>
        <v/>
      </c>
      <c r="M31" s="42" t="str" cm="1">
        <f t="array" aca="1" ref="M31" ca="1">IF(L31 = "","",IF(L31&gt;=INDEX(採点基準_観点別!$C$3:$C$1000,_xlfn.XMATCH(MID(CELL("filename",$A$1),FIND("]",CELL("filename",$A$1))+1,31)&amp;$F$1,採点基準_観点別!$F$3:$F$1000)),"A",IF(L31&gt;=INDEX(採点基準_観点別!$D$3:$D$1000,_xlfn.XMATCH(MID(CELL("filename",$A$1),FIND("]",CELL("filename",$A$1))+1,31)&amp;$F$1,採点基準_観点別!$F$3:$F$1000)),"B",IF(L31&lt;=INDEX(採点基準_観点別!$E$3:$E$1000,_xlfn.XMATCH(MID(CELL("filename",$A$1),FIND("]",CELL("filename",$A$1))+1,31)&amp;$F$1,採点基準_観点別!$F$3:$F$1000)),"C","採点基準が不正です"))))</f>
        <v/>
      </c>
      <c r="N31" s="42"/>
      <c r="O31" s="42"/>
      <c r="P31" s="42"/>
      <c r="Q31" s="42"/>
      <c r="R31" s="42"/>
      <c r="S31" s="42"/>
      <c r="T31" s="42" t="str">
        <f t="shared" si="2"/>
        <v>未入力</v>
      </c>
      <c r="U31" s="42" t="str">
        <f t="shared" si="3"/>
        <v/>
      </c>
      <c r="V31" s="42" t="str" cm="1">
        <f t="array" aca="1" ref="V31" ca="1">IF(U31 = "","",IF(U31&gt;=INDEX(採点基準_観点別!$C$3:$C$1000,_xlfn.XMATCH(MID(CELL("filename",$A$1),FIND("]",CELL("filename",$A$1))+1,31)&amp;$F$1,採点基準_観点別!$F$3:$F$1000)),"A",IF(U31&gt;=INDEX(採点基準_観点別!$D$3:$D$1000,_xlfn.XMATCH(MID(CELL("filename",$A$1),FIND("]",CELL("filename",$A$1))+1,31)&amp;$F$1,採点基準_観点別!$F$3:$F$1000)),"B",IF(U31&lt;=INDEX(採点基準_観点別!$E$3:$E$1000,_xlfn.XMATCH(MID(CELL("filename",$A$1),FIND("]",CELL("filename",$A$1))+1,31)&amp;$F$1,採点基準_観点別!$F$3:$F$1000)),"C","採点基準が不正です"))))</f>
        <v/>
      </c>
      <c r="W31" s="42"/>
      <c r="X31" s="42"/>
      <c r="Y31" s="42"/>
      <c r="Z31" s="42"/>
      <c r="AA31" s="42"/>
      <c r="AB31" s="42"/>
      <c r="AC31" s="42"/>
      <c r="AD31" s="42" t="str">
        <f t="shared" si="4"/>
        <v>未入力</v>
      </c>
      <c r="AE31" s="42" t="str">
        <f t="shared" si="5"/>
        <v/>
      </c>
      <c r="AF31" s="42" t="str" cm="1">
        <f t="array" aca="1" ref="AF31" ca="1">IF(AE31 = "","",IF(AE31&gt;=INDEX(採点基準_観点別!$C$3:$C$1000,_xlfn.XMATCH(MID(CELL("filename",$A$1),FIND("]",CELL("filename",$A$1))+1,31)&amp;$F$1,採点基準_観点別!$F$3:$F$1000)),"A",IF(AE31&gt;=INDEX(採点基準_観点別!$D$3:$D$1000,_xlfn.XMATCH(MID(CELL("filename",$A$1),FIND("]",CELL("filename",$A$1))+1,31)&amp;$F$1,採点基準_観点別!$F$3:$F$1000)),"B",IF(AE31&lt;=INDEX(採点基準_観点別!$E$3:$E$1000,_xlfn.XMATCH(MID(CELL("filename",$A$1),FIND("]",CELL("filename",$A$1))+1,31)&amp;$F$1,採点基準_観点別!$F$3:$F$1000)),"C","採点基準が不正です"))))</f>
        <v/>
      </c>
    </row>
    <row r="32" spans="1:32" x14ac:dyDescent="0.4">
      <c r="A32" s="62">
        <v>14</v>
      </c>
      <c r="B32" s="62" t="s">
        <v>2</v>
      </c>
      <c r="C32" s="31"/>
      <c r="D32" s="31"/>
      <c r="E32" s="31"/>
      <c r="F32" s="31"/>
      <c r="G32" s="31"/>
      <c r="H32" s="31"/>
      <c r="I32" s="31"/>
      <c r="J32" s="31"/>
      <c r="K32" s="31" t="str">
        <f t="shared" si="0"/>
        <v>未入力</v>
      </c>
      <c r="L32" s="31" t="str">
        <f t="shared" si="1"/>
        <v/>
      </c>
      <c r="M32" s="31" t="str" cm="1">
        <f t="array" aca="1" ref="M32" ca="1">IF(L32 = "","",IF(L32&gt;=INDEX(採点基準_観点別!$C$3:$C$1000,_xlfn.XMATCH(MID(CELL("filename",$A$1),FIND("]",CELL("filename",$A$1))+1,31)&amp;$F$1,採点基準_観点別!$F$3:$F$1000)),"A",IF(L32&gt;=INDEX(採点基準_観点別!$D$3:$D$1000,_xlfn.XMATCH(MID(CELL("filename",$A$1),FIND("]",CELL("filename",$A$1))+1,31)&amp;$F$1,採点基準_観点別!$F$3:$F$1000)),"B",IF(L32&lt;=INDEX(採点基準_観点別!$E$3:$E$1000,_xlfn.XMATCH(MID(CELL("filename",$A$1),FIND("]",CELL("filename",$A$1))+1,31)&amp;$F$1,採点基準_観点別!$F$3:$F$1000)),"C","採点基準が不正です"))))</f>
        <v/>
      </c>
      <c r="N32" s="31"/>
      <c r="O32" s="31"/>
      <c r="P32" s="31"/>
      <c r="Q32" s="31"/>
      <c r="R32" s="31"/>
      <c r="S32" s="31"/>
      <c r="T32" s="31" t="str">
        <f t="shared" si="2"/>
        <v>未入力</v>
      </c>
      <c r="U32" s="31" t="str">
        <f t="shared" si="3"/>
        <v/>
      </c>
      <c r="V32" s="31" t="str" cm="1">
        <f t="array" aca="1" ref="V32" ca="1">IF(U32 = "","",IF(U32&gt;=INDEX(採点基準_観点別!$C$3:$C$1000,_xlfn.XMATCH(MID(CELL("filename",$A$1),FIND("]",CELL("filename",$A$1))+1,31)&amp;$F$1,採点基準_観点別!$F$3:$F$1000)),"A",IF(U32&gt;=INDEX(採点基準_観点別!$D$3:$D$1000,_xlfn.XMATCH(MID(CELL("filename",$A$1),FIND("]",CELL("filename",$A$1))+1,31)&amp;$F$1,採点基準_観点別!$F$3:$F$1000)),"B",IF(U32&lt;=INDEX(採点基準_観点別!$E$3:$E$1000,_xlfn.XMATCH(MID(CELL("filename",$A$1),FIND("]",CELL("filename",$A$1))+1,31)&amp;$F$1,採点基準_観点別!$F$3:$F$1000)),"C","採点基準が不正です"))))</f>
        <v/>
      </c>
      <c r="W32" s="31"/>
      <c r="X32" s="31"/>
      <c r="Y32" s="31"/>
      <c r="Z32" s="31"/>
      <c r="AA32" s="31"/>
      <c r="AB32" s="31"/>
      <c r="AC32" s="31"/>
      <c r="AD32" s="31" t="str">
        <f t="shared" si="4"/>
        <v>未入力</v>
      </c>
      <c r="AE32" s="31" t="str">
        <f t="shared" si="5"/>
        <v/>
      </c>
      <c r="AF32" s="31" t="str" cm="1">
        <f t="array" aca="1" ref="AF32" ca="1">IF(AE32 = "","",IF(AE32&gt;=INDEX(採点基準_観点別!$C$3:$C$1000,_xlfn.XMATCH(MID(CELL("filename",$A$1),FIND("]",CELL("filename",$A$1))+1,31)&amp;$F$1,採点基準_観点別!$F$3:$F$1000)),"A",IF(AE32&gt;=INDEX(採点基準_観点別!$D$3:$D$1000,_xlfn.XMATCH(MID(CELL("filename",$A$1),FIND("]",CELL("filename",$A$1))+1,31)&amp;$F$1,採点基準_観点別!$F$3:$F$1000)),"B",IF(AE32&lt;=INDEX(採点基準_観点別!$E$3:$E$1000,_xlfn.XMATCH(MID(CELL("filename",$A$1),FIND("]",CELL("filename",$A$1))+1,31)&amp;$F$1,採点基準_観点別!$F$3:$F$1000)),"C","採点基準が不正です"))))</f>
        <v/>
      </c>
    </row>
    <row r="33" spans="1:32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/>
      <c r="J33" s="42"/>
      <c r="K33" s="42" t="str">
        <f t="shared" si="0"/>
        <v>未入力</v>
      </c>
      <c r="L33" s="42" t="str">
        <f t="shared" si="1"/>
        <v/>
      </c>
      <c r="M33" s="42" t="str" cm="1">
        <f t="array" aca="1" ref="M33" ca="1">IF(L33 = "","",IF(L33&gt;=INDEX(採点基準_観点別!$C$3:$C$1000,_xlfn.XMATCH(MID(CELL("filename",$A$1),FIND("]",CELL("filename",$A$1))+1,31)&amp;$F$1,採点基準_観点別!$F$3:$F$1000)),"A",IF(L33&gt;=INDEX(採点基準_観点別!$D$3:$D$1000,_xlfn.XMATCH(MID(CELL("filename",$A$1),FIND("]",CELL("filename",$A$1))+1,31)&amp;$F$1,採点基準_観点別!$F$3:$F$1000)),"B",IF(L33&lt;=INDEX(採点基準_観点別!$E$3:$E$1000,_xlfn.XMATCH(MID(CELL("filename",$A$1),FIND("]",CELL("filename",$A$1))+1,31)&amp;$F$1,採点基準_観点別!$F$3:$F$1000)),"C","採点基準が不正です"))))</f>
        <v/>
      </c>
      <c r="N33" s="42"/>
      <c r="O33" s="42"/>
      <c r="P33" s="42"/>
      <c r="Q33" s="42"/>
      <c r="R33" s="42"/>
      <c r="S33" s="42"/>
      <c r="T33" s="42" t="str">
        <f t="shared" si="2"/>
        <v>未入力</v>
      </c>
      <c r="U33" s="42" t="str">
        <f t="shared" si="3"/>
        <v/>
      </c>
      <c r="V33" s="42" t="str" cm="1">
        <f t="array" aca="1" ref="V33" ca="1">IF(U33 = "","",IF(U33&gt;=INDEX(採点基準_観点別!$C$3:$C$1000,_xlfn.XMATCH(MID(CELL("filename",$A$1),FIND("]",CELL("filename",$A$1))+1,31)&amp;$F$1,採点基準_観点別!$F$3:$F$1000)),"A",IF(U33&gt;=INDEX(採点基準_観点別!$D$3:$D$1000,_xlfn.XMATCH(MID(CELL("filename",$A$1),FIND("]",CELL("filename",$A$1))+1,31)&amp;$F$1,採点基準_観点別!$F$3:$F$1000)),"B",IF(U33&lt;=INDEX(採点基準_観点別!$E$3:$E$1000,_xlfn.XMATCH(MID(CELL("filename",$A$1),FIND("]",CELL("filename",$A$1))+1,31)&amp;$F$1,採点基準_観点別!$F$3:$F$1000)),"C","採点基準が不正です"))))</f>
        <v/>
      </c>
      <c r="W33" s="42"/>
      <c r="X33" s="42"/>
      <c r="Y33" s="42"/>
      <c r="Z33" s="42"/>
      <c r="AA33" s="42"/>
      <c r="AB33" s="42"/>
      <c r="AC33" s="42"/>
      <c r="AD33" s="42" t="str">
        <f t="shared" si="4"/>
        <v>未入力</v>
      </c>
      <c r="AE33" s="42" t="str">
        <f t="shared" si="5"/>
        <v/>
      </c>
      <c r="AF33" s="42" t="str" cm="1">
        <f t="array" aca="1" ref="AF33" ca="1">IF(AE33 = "","",IF(AE33&gt;=INDEX(採点基準_観点別!$C$3:$C$1000,_xlfn.XMATCH(MID(CELL("filename",$A$1),FIND("]",CELL("filename",$A$1))+1,31)&amp;$F$1,採点基準_観点別!$F$3:$F$1000)),"A",IF(AE33&gt;=INDEX(採点基準_観点別!$D$3:$D$1000,_xlfn.XMATCH(MID(CELL("filename",$A$1),FIND("]",CELL("filename",$A$1))+1,31)&amp;$F$1,採点基準_観点別!$F$3:$F$1000)),"B",IF(AE33&lt;=INDEX(採点基準_観点別!$E$3:$E$1000,_xlfn.XMATCH(MID(CELL("filename",$A$1),FIND("]",CELL("filename",$A$1))+1,31)&amp;$F$1,採点基準_観点別!$F$3:$F$1000)),"C","採点基準が不正です"))))</f>
        <v/>
      </c>
    </row>
    <row r="34" spans="1:32" x14ac:dyDescent="0.4">
      <c r="A34" s="62">
        <v>14</v>
      </c>
      <c r="B34" s="62" t="s">
        <v>2</v>
      </c>
      <c r="C34" s="31"/>
      <c r="D34" s="31"/>
      <c r="E34" s="31"/>
      <c r="F34" s="31"/>
      <c r="G34" s="31"/>
      <c r="H34" s="31"/>
      <c r="I34" s="31"/>
      <c r="J34" s="31"/>
      <c r="K34" s="31" t="str">
        <f t="shared" si="0"/>
        <v>未入力</v>
      </c>
      <c r="L34" s="31" t="str">
        <f t="shared" si="1"/>
        <v/>
      </c>
      <c r="M34" s="31" t="str" cm="1">
        <f t="array" aca="1" ref="M34" ca="1">IF(L34 = "","",IF(L34&gt;=INDEX(採点基準_観点別!$C$3:$C$1000,_xlfn.XMATCH(MID(CELL("filename",$A$1),FIND("]",CELL("filename",$A$1))+1,31)&amp;$F$1,採点基準_観点別!$F$3:$F$1000)),"A",IF(L34&gt;=INDEX(採点基準_観点別!$D$3:$D$1000,_xlfn.XMATCH(MID(CELL("filename",$A$1),FIND("]",CELL("filename",$A$1))+1,31)&amp;$F$1,採点基準_観点別!$F$3:$F$1000)),"B",IF(L34&lt;=INDEX(採点基準_観点別!$E$3:$E$1000,_xlfn.XMATCH(MID(CELL("filename",$A$1),FIND("]",CELL("filename",$A$1))+1,31)&amp;$F$1,採点基準_観点別!$F$3:$F$1000)),"C","採点基準が不正です"))))</f>
        <v/>
      </c>
      <c r="N34" s="31"/>
      <c r="O34" s="31"/>
      <c r="P34" s="31"/>
      <c r="Q34" s="31"/>
      <c r="R34" s="31"/>
      <c r="S34" s="31"/>
      <c r="T34" s="31" t="str">
        <f t="shared" si="2"/>
        <v>未入力</v>
      </c>
      <c r="U34" s="31" t="str">
        <f t="shared" si="3"/>
        <v/>
      </c>
      <c r="V34" s="31" t="str" cm="1">
        <f t="array" aca="1" ref="V34" ca="1">IF(U34 = "","",IF(U34&gt;=INDEX(採点基準_観点別!$C$3:$C$1000,_xlfn.XMATCH(MID(CELL("filename",$A$1),FIND("]",CELL("filename",$A$1))+1,31)&amp;$F$1,採点基準_観点別!$F$3:$F$1000)),"A",IF(U34&gt;=INDEX(採点基準_観点別!$D$3:$D$1000,_xlfn.XMATCH(MID(CELL("filename",$A$1),FIND("]",CELL("filename",$A$1))+1,31)&amp;$F$1,採点基準_観点別!$F$3:$F$1000)),"B",IF(U34&lt;=INDEX(採点基準_観点別!$E$3:$E$1000,_xlfn.XMATCH(MID(CELL("filename",$A$1),FIND("]",CELL("filename",$A$1))+1,31)&amp;$F$1,採点基準_観点別!$F$3:$F$1000)),"C","採点基準が不正です"))))</f>
        <v/>
      </c>
      <c r="W34" s="31"/>
      <c r="X34" s="31"/>
      <c r="Y34" s="31"/>
      <c r="Z34" s="31"/>
      <c r="AA34" s="31"/>
      <c r="AB34" s="31"/>
      <c r="AC34" s="31"/>
      <c r="AD34" s="31" t="str">
        <f t="shared" si="4"/>
        <v>未入力</v>
      </c>
      <c r="AE34" s="31" t="str">
        <f t="shared" si="5"/>
        <v/>
      </c>
      <c r="AF34" s="31" t="str" cm="1">
        <f t="array" aca="1" ref="AF34" ca="1">IF(AE34 = "","",IF(AE34&gt;=INDEX(採点基準_観点別!$C$3:$C$1000,_xlfn.XMATCH(MID(CELL("filename",$A$1),FIND("]",CELL("filename",$A$1))+1,31)&amp;$F$1,採点基準_観点別!$F$3:$F$1000)),"A",IF(AE34&gt;=INDEX(採点基準_観点別!$D$3:$D$1000,_xlfn.XMATCH(MID(CELL("filename",$A$1),FIND("]",CELL("filename",$A$1))+1,31)&amp;$F$1,採点基準_観点別!$F$3:$F$1000)),"B",IF(AE34&lt;=INDEX(採点基準_観点別!$E$3:$E$1000,_xlfn.XMATCH(MID(CELL("filename",$A$1),FIND("]",CELL("filename",$A$1))+1,31)&amp;$F$1,採点基準_観点別!$F$3:$F$1000)),"C","採点基準が不正です"))))</f>
        <v/>
      </c>
    </row>
    <row r="35" spans="1:32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/>
      <c r="J35" s="42"/>
      <c r="K35" s="42" t="str">
        <f t="shared" si="0"/>
        <v>未入力</v>
      </c>
      <c r="L35" s="42" t="str">
        <f t="shared" si="1"/>
        <v/>
      </c>
      <c r="M35" s="42" t="str" cm="1">
        <f t="array" aca="1" ref="M35" ca="1">IF(L35 = "","",IF(L35&gt;=INDEX(採点基準_観点別!$C$3:$C$1000,_xlfn.XMATCH(MID(CELL("filename",$A$1),FIND("]",CELL("filename",$A$1))+1,31)&amp;$F$1,採点基準_観点別!$F$3:$F$1000)),"A",IF(L35&gt;=INDEX(採点基準_観点別!$D$3:$D$1000,_xlfn.XMATCH(MID(CELL("filename",$A$1),FIND("]",CELL("filename",$A$1))+1,31)&amp;$F$1,採点基準_観点別!$F$3:$F$1000)),"B",IF(L35&lt;=INDEX(採点基準_観点別!$E$3:$E$1000,_xlfn.XMATCH(MID(CELL("filename",$A$1),FIND("]",CELL("filename",$A$1))+1,31)&amp;$F$1,採点基準_観点別!$F$3:$F$1000)),"C","採点基準が不正です"))))</f>
        <v/>
      </c>
      <c r="N35" s="42"/>
      <c r="O35" s="42"/>
      <c r="P35" s="42"/>
      <c r="Q35" s="42"/>
      <c r="R35" s="42"/>
      <c r="S35" s="42"/>
      <c r="T35" s="42" t="str">
        <f t="shared" si="2"/>
        <v>未入力</v>
      </c>
      <c r="U35" s="42" t="str">
        <f t="shared" si="3"/>
        <v/>
      </c>
      <c r="V35" s="42" t="str" cm="1">
        <f t="array" aca="1" ref="V35" ca="1">IF(U35 = "","",IF(U35&gt;=INDEX(採点基準_観点別!$C$3:$C$1000,_xlfn.XMATCH(MID(CELL("filename",$A$1),FIND("]",CELL("filename",$A$1))+1,31)&amp;$F$1,採点基準_観点別!$F$3:$F$1000)),"A",IF(U35&gt;=INDEX(採点基準_観点別!$D$3:$D$1000,_xlfn.XMATCH(MID(CELL("filename",$A$1),FIND("]",CELL("filename",$A$1))+1,31)&amp;$F$1,採点基準_観点別!$F$3:$F$1000)),"B",IF(U35&lt;=INDEX(採点基準_観点別!$E$3:$E$1000,_xlfn.XMATCH(MID(CELL("filename",$A$1),FIND("]",CELL("filename",$A$1))+1,31)&amp;$F$1,採点基準_観点別!$F$3:$F$1000)),"C","採点基準が不正です"))))</f>
        <v/>
      </c>
      <c r="W35" s="42"/>
      <c r="X35" s="42"/>
      <c r="Y35" s="42"/>
      <c r="Z35" s="42"/>
      <c r="AA35" s="42"/>
      <c r="AB35" s="42"/>
      <c r="AC35" s="42"/>
      <c r="AD35" s="42" t="str">
        <f t="shared" si="4"/>
        <v>未入力</v>
      </c>
      <c r="AE35" s="42" t="str">
        <f t="shared" si="5"/>
        <v/>
      </c>
      <c r="AF35" s="42" t="str" cm="1">
        <f t="array" aca="1" ref="AF35" ca="1">IF(AE35 = "","",IF(AE35&gt;=INDEX(採点基準_観点別!$C$3:$C$1000,_xlfn.XMATCH(MID(CELL("filename",$A$1),FIND("]",CELL("filename",$A$1))+1,31)&amp;$F$1,採点基準_観点別!$F$3:$F$1000)),"A",IF(AE35&gt;=INDEX(採点基準_観点別!$D$3:$D$1000,_xlfn.XMATCH(MID(CELL("filename",$A$1),FIND("]",CELL("filename",$A$1))+1,31)&amp;$F$1,採点基準_観点別!$F$3:$F$1000)),"B",IF(AE35&lt;=INDEX(採点基準_観点別!$E$3:$E$1000,_xlfn.XMATCH(MID(CELL("filename",$A$1),FIND("]",CELL("filename",$A$1))+1,31)&amp;$F$1,採点基準_観点別!$F$3:$F$1000)),"C","採点基準が不正です"))))</f>
        <v/>
      </c>
    </row>
    <row r="36" spans="1:32" x14ac:dyDescent="0.4">
      <c r="A36" s="62">
        <v>14</v>
      </c>
      <c r="B36" s="62" t="s">
        <v>2</v>
      </c>
      <c r="C36" s="31"/>
      <c r="D36" s="31"/>
      <c r="E36" s="31"/>
      <c r="F36" s="31"/>
      <c r="G36" s="31"/>
      <c r="H36" s="31"/>
      <c r="I36" s="31"/>
      <c r="J36" s="31"/>
      <c r="K36" s="31" t="str">
        <f t="shared" si="0"/>
        <v>未入力</v>
      </c>
      <c r="L36" s="31" t="str">
        <f t="shared" si="1"/>
        <v/>
      </c>
      <c r="M36" s="31" t="str" cm="1">
        <f t="array" aca="1" ref="M36" ca="1">IF(L36 = "","",IF(L36&gt;=INDEX(採点基準_観点別!$C$3:$C$1000,_xlfn.XMATCH(MID(CELL("filename",$A$1),FIND("]",CELL("filename",$A$1))+1,31)&amp;$F$1,採点基準_観点別!$F$3:$F$1000)),"A",IF(L36&gt;=INDEX(採点基準_観点別!$D$3:$D$1000,_xlfn.XMATCH(MID(CELL("filename",$A$1),FIND("]",CELL("filename",$A$1))+1,31)&amp;$F$1,採点基準_観点別!$F$3:$F$1000)),"B",IF(L36&lt;=INDEX(採点基準_観点別!$E$3:$E$1000,_xlfn.XMATCH(MID(CELL("filename",$A$1),FIND("]",CELL("filename",$A$1))+1,31)&amp;$F$1,採点基準_観点別!$F$3:$F$1000)),"C","採点基準が不正です"))))</f>
        <v/>
      </c>
      <c r="N36" s="31"/>
      <c r="O36" s="31"/>
      <c r="P36" s="31"/>
      <c r="Q36" s="31"/>
      <c r="R36" s="31"/>
      <c r="S36" s="31"/>
      <c r="T36" s="31" t="str">
        <f t="shared" si="2"/>
        <v>未入力</v>
      </c>
      <c r="U36" s="31" t="str">
        <f t="shared" si="3"/>
        <v/>
      </c>
      <c r="V36" s="31" t="str" cm="1">
        <f t="array" aca="1" ref="V36" ca="1">IF(U36 = "","",IF(U36&gt;=INDEX(採点基準_観点別!$C$3:$C$1000,_xlfn.XMATCH(MID(CELL("filename",$A$1),FIND("]",CELL("filename",$A$1))+1,31)&amp;$F$1,採点基準_観点別!$F$3:$F$1000)),"A",IF(U36&gt;=INDEX(採点基準_観点別!$D$3:$D$1000,_xlfn.XMATCH(MID(CELL("filename",$A$1),FIND("]",CELL("filename",$A$1))+1,31)&amp;$F$1,採点基準_観点別!$F$3:$F$1000)),"B",IF(U36&lt;=INDEX(採点基準_観点別!$E$3:$E$1000,_xlfn.XMATCH(MID(CELL("filename",$A$1),FIND("]",CELL("filename",$A$1))+1,31)&amp;$F$1,採点基準_観点別!$F$3:$F$1000)),"C","採点基準が不正です"))))</f>
        <v/>
      </c>
      <c r="W36" s="31"/>
      <c r="X36" s="31"/>
      <c r="Y36" s="31"/>
      <c r="Z36" s="31"/>
      <c r="AA36" s="31"/>
      <c r="AB36" s="31"/>
      <c r="AC36" s="31"/>
      <c r="AD36" s="31" t="str">
        <f t="shared" si="4"/>
        <v>未入力</v>
      </c>
      <c r="AE36" s="31" t="str">
        <f t="shared" si="5"/>
        <v/>
      </c>
      <c r="AF36" s="31" t="str" cm="1">
        <f t="array" aca="1" ref="AF36" ca="1">IF(AE36 = "","",IF(AE36&gt;=INDEX(採点基準_観点別!$C$3:$C$1000,_xlfn.XMATCH(MID(CELL("filename",$A$1),FIND("]",CELL("filename",$A$1))+1,31)&amp;$F$1,採点基準_観点別!$F$3:$F$1000)),"A",IF(AE36&gt;=INDEX(採点基準_観点別!$D$3:$D$1000,_xlfn.XMATCH(MID(CELL("filename",$A$1),FIND("]",CELL("filename",$A$1))+1,31)&amp;$F$1,採点基準_観点別!$F$3:$F$1000)),"B",IF(AE36&lt;=INDEX(採点基準_観点別!$E$3:$E$1000,_xlfn.XMATCH(MID(CELL("filename",$A$1),FIND("]",CELL("filename",$A$1))+1,31)&amp;$F$1,採点基準_観点別!$F$3:$F$1000)),"C","採点基準が不正です"))))</f>
        <v/>
      </c>
    </row>
    <row r="37" spans="1:32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/>
      <c r="J37" s="42"/>
      <c r="K37" s="42" t="str">
        <f t="shared" si="0"/>
        <v>未入力</v>
      </c>
      <c r="L37" s="42" t="str">
        <f t="shared" si="1"/>
        <v/>
      </c>
      <c r="M37" s="42" t="str" cm="1">
        <f t="array" aca="1" ref="M37" ca="1">IF(L37 = "","",IF(L37&gt;=INDEX(採点基準_観点別!$C$3:$C$1000,_xlfn.XMATCH(MID(CELL("filename",$A$1),FIND("]",CELL("filename",$A$1))+1,31)&amp;$F$1,採点基準_観点別!$F$3:$F$1000)),"A",IF(L37&gt;=INDEX(採点基準_観点別!$D$3:$D$1000,_xlfn.XMATCH(MID(CELL("filename",$A$1),FIND("]",CELL("filename",$A$1))+1,31)&amp;$F$1,採点基準_観点別!$F$3:$F$1000)),"B",IF(L37&lt;=INDEX(採点基準_観点別!$E$3:$E$1000,_xlfn.XMATCH(MID(CELL("filename",$A$1),FIND("]",CELL("filename",$A$1))+1,31)&amp;$F$1,採点基準_観点別!$F$3:$F$1000)),"C","採点基準が不正です"))))</f>
        <v/>
      </c>
      <c r="N37" s="42"/>
      <c r="O37" s="42"/>
      <c r="P37" s="42"/>
      <c r="Q37" s="42"/>
      <c r="R37" s="42"/>
      <c r="S37" s="42"/>
      <c r="T37" s="42" t="str">
        <f t="shared" si="2"/>
        <v>未入力</v>
      </c>
      <c r="U37" s="42" t="str">
        <f t="shared" si="3"/>
        <v/>
      </c>
      <c r="V37" s="42" t="str" cm="1">
        <f t="array" aca="1" ref="V37" ca="1">IF(U37 = "","",IF(U37&gt;=INDEX(採点基準_観点別!$C$3:$C$1000,_xlfn.XMATCH(MID(CELL("filename",$A$1),FIND("]",CELL("filename",$A$1))+1,31)&amp;$F$1,採点基準_観点別!$F$3:$F$1000)),"A",IF(U37&gt;=INDEX(採点基準_観点別!$D$3:$D$1000,_xlfn.XMATCH(MID(CELL("filename",$A$1),FIND("]",CELL("filename",$A$1))+1,31)&amp;$F$1,採点基準_観点別!$F$3:$F$1000)),"B",IF(U37&lt;=INDEX(採点基準_観点別!$E$3:$E$1000,_xlfn.XMATCH(MID(CELL("filename",$A$1),FIND("]",CELL("filename",$A$1))+1,31)&amp;$F$1,採点基準_観点別!$F$3:$F$1000)),"C","採点基準が不正です"))))</f>
        <v/>
      </c>
      <c r="W37" s="42"/>
      <c r="X37" s="42"/>
      <c r="Y37" s="42"/>
      <c r="Z37" s="42"/>
      <c r="AA37" s="42"/>
      <c r="AB37" s="42"/>
      <c r="AC37" s="42"/>
      <c r="AD37" s="42" t="str">
        <f t="shared" si="4"/>
        <v>未入力</v>
      </c>
      <c r="AE37" s="42" t="str">
        <f t="shared" si="5"/>
        <v/>
      </c>
      <c r="AF37" s="42" t="str" cm="1">
        <f t="array" aca="1" ref="AF37" ca="1">IF(AE37 = "","",IF(AE37&gt;=INDEX(採点基準_観点別!$C$3:$C$1000,_xlfn.XMATCH(MID(CELL("filename",$A$1),FIND("]",CELL("filename",$A$1))+1,31)&amp;$F$1,採点基準_観点別!$F$3:$F$1000)),"A",IF(AE37&gt;=INDEX(採点基準_観点別!$D$3:$D$1000,_xlfn.XMATCH(MID(CELL("filename",$A$1),FIND("]",CELL("filename",$A$1))+1,31)&amp;$F$1,採点基準_観点別!$F$3:$F$1000)),"B",IF(AE37&lt;=INDEX(採点基準_観点別!$E$3:$E$1000,_xlfn.XMATCH(MID(CELL("filename",$A$1),FIND("]",CELL("filename",$A$1))+1,31)&amp;$F$1,採点基準_観点別!$F$3:$F$1000)),"C","採点基準が不正です"))))</f>
        <v/>
      </c>
    </row>
  </sheetData>
  <dataConsolidate/>
  <mergeCells count="1">
    <mergeCell ref="C1:E1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34" r:id="rId4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5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1054A-C9DE-476F-9328-440562325FAE}">
  <sheetPr codeName="Sheet13"/>
  <dimension ref="A1:Z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26" width="4.375" style="13" customWidth="1"/>
    <col min="27" max="16384" width="9" style="13"/>
  </cols>
  <sheetData>
    <row r="1" spans="1:26" x14ac:dyDescent="0.4">
      <c r="B1" s="33" t="s">
        <v>21</v>
      </c>
      <c r="C1" s="55" t="s">
        <v>23</v>
      </c>
      <c r="D1" s="56"/>
      <c r="E1" s="57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7"/>
    </row>
    <row r="2" spans="1:26" ht="121.5" x14ac:dyDescent="0.4">
      <c r="B2" s="38" t="s">
        <v>22</v>
      </c>
      <c r="C2" s="43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3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43</v>
      </c>
      <c r="S2" s="39" t="s">
        <v>42</v>
      </c>
      <c r="T2" s="43" t="s">
        <v>37</v>
      </c>
      <c r="U2" s="39" t="s">
        <v>38</v>
      </c>
      <c r="V2" s="39" t="s">
        <v>39</v>
      </c>
      <c r="W2" s="39" t="s">
        <v>41</v>
      </c>
      <c r="X2" s="43" t="s">
        <v>37</v>
      </c>
      <c r="Y2" s="39" t="s">
        <v>38</v>
      </c>
      <c r="Z2" s="39" t="s">
        <v>39</v>
      </c>
    </row>
    <row r="3" spans="1:26" x14ac:dyDescent="0.4">
      <c r="A3" s="58"/>
      <c r="B3" s="30" t="s">
        <v>51</v>
      </c>
      <c r="C3" s="35"/>
      <c r="D3" s="30"/>
      <c r="E3" s="30"/>
      <c r="F3" s="30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ｓ２</v>
      </c>
      <c r="G3" s="30" t="str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ｓ２</v>
      </c>
      <c r="H3" s="30" t="str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ｓ２</v>
      </c>
      <c r="I3" s="30" t="str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ｓ２</v>
      </c>
      <c r="J3" s="30" t="str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ｓ２</v>
      </c>
      <c r="K3" s="30"/>
      <c r="L3" s="30"/>
      <c r="M3" s="30"/>
      <c r="N3" s="30" t="str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ｓ２</v>
      </c>
      <c r="O3" s="30" t="str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ｓ２</v>
      </c>
      <c r="P3" s="30" t="str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ｓ２</v>
      </c>
      <c r="Q3" s="30" t="str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ｓ２</v>
      </c>
      <c r="R3" s="30" t="str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ｓ２</v>
      </c>
      <c r="S3" s="30" t="str" cm="1">
        <f t="array" aca="1" ref="S3" ca="1">_xlfn.XLOOKUP(MID(CELL("filename",$A$1),FIND("]",CELL("filename",$A$1))+1,31)&amp;$S$2&amp;$N$1,採点基準_単元別!$R$3:$R$100000,採点基準_単元別!$F$3:$F$100000,_xlfn.XLOOKUP(MID(CELL("filename",$A$1),FIND("]",CELL("filename",$A$1))+1,31)&amp;$S$2&amp;$N$1,採点基準_単元別!$S$3:$S$100000,採点基準_単元別!$J$3:$J$100000,_xlfn.XLOOKUP(MID(CELL("filename",$A$1),FIND("]",CELL("filename",$A$1))+1,31)&amp;$S$2&amp;$N$1,採点基準_単元別!$T$3:$T$100000,採点基準_単元別!$N$3:$N$100000,"見つかりません")))</f>
        <v>ｓ２</v>
      </c>
      <c r="T3" s="30"/>
      <c r="U3" s="30"/>
      <c r="V3" s="30"/>
      <c r="W3" s="30" t="str" cm="1">
        <f t="array" aca="1" ref="W3" ca="1">_xlfn.XLOOKUP(MID(CELL("filename",$A$1),FIND("]",CELL("filename",$A$1))+1,31)&amp;$W$2&amp;$W$1,採点基準_単元別!$R$3:$R$100000,採点基準_単元別!$F$3:$F$100000,_xlfn.XLOOKUP(MID(CELL("filename",$A$1),FIND("]",CELL("filename",$A$1))+1,31)&amp;$W$2&amp;$W$1,採点基準_単元別!$S$3:$S$100000,採点基準_単元別!$J$3:$J$100000,_xlfn.XLOOKUP(MID(CELL("filename",$A$1),FIND("]",CELL("filename",$A$1))+1,31)&amp;$W$2&amp;$W$1,採点基準_単元別!$T$3:$T$100000,採点基準_単元別!$N$3:$N$100000,"見つかりません")))</f>
        <v>見つかりません</v>
      </c>
      <c r="X3" s="30"/>
      <c r="Y3" s="30"/>
      <c r="Z3" s="30"/>
    </row>
    <row r="4" spans="1:26" x14ac:dyDescent="0.4">
      <c r="A4" s="58"/>
      <c r="B4" s="53" t="s">
        <v>52</v>
      </c>
      <c r="C4" s="54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</row>
    <row r="5" spans="1:26" x14ac:dyDescent="0.4">
      <c r="A5" s="42">
        <v>1</v>
      </c>
      <c r="B5" s="42" t="s">
        <v>2</v>
      </c>
      <c r="C5" s="42"/>
      <c r="D5" s="42"/>
      <c r="E5" s="42"/>
      <c r="F5" s="42"/>
      <c r="G5" s="42"/>
      <c r="H5" s="42"/>
      <c r="I5" s="42"/>
      <c r="J5" s="42"/>
      <c r="K5" s="42" t="str">
        <f>IF(COUNTBLANK(F5:J5)=0,SUM(F5:J5),"未入力")</f>
        <v>未入力</v>
      </c>
      <c r="L5" s="42" t="str">
        <f>IFERROR(ROUNDDOWN(K5/ (IF(F5= "",0,$F$3)+IF(G5= "",0,$G$3)+IF(H5= "",0,$H$3)+IF(I5= "",0,$I$3)+IF(J5= "",0,$J$3))*100,0),"")</f>
        <v/>
      </c>
      <c r="M5" s="42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2"/>
      <c r="O5" s="42"/>
      <c r="P5" s="42"/>
      <c r="Q5" s="42"/>
      <c r="R5" s="42"/>
      <c r="S5" s="42"/>
      <c r="T5" s="42" t="str">
        <f>IF(COUNTBLANK(N5:S5)=0,SUM(N5:S5),"未入力")</f>
        <v>未入力</v>
      </c>
      <c r="U5" s="42" t="str">
        <f>IFERROR(ROUNDDOWN(T5/ (IF(N5= "",0,$N$3)+IF(O5= "",0,$O$3)+IF(P5= "",0,$P$3)+IF(Q5= "",0,$Q$3)+IF(R5= "",0,$R$3)+IF(S5= "",0,$S$3))*100,0),"")</f>
        <v/>
      </c>
      <c r="V5" s="42" t="str" cm="1">
        <f t="array" aca="1" ref="V5" ca="1">IF(U5 = "","",IF(U5&gt;=INDEX(採点基準_観点別!$C$3:$C$1000,_xlfn.XMATCH(MID(CELL("filename",$A$1),FIND("]",CELL("filename",$A$1))+1,31)&amp;$F$1,採点基準_観点別!$F$3:$F$1000)),"A",IF(U5&gt;=INDEX(採点基準_観点別!$D$3:$D$1000,_xlfn.XMATCH(MID(CELL("filename",$A$1),FIND("]",CELL("filename",$A$1))+1,31)&amp;$F$1,採点基準_観点別!$F$3:$F$1000)),"B",IF(U5&lt;=INDEX(採点基準_観点別!$E$3:$E$1000,_xlfn.XMATCH(MID(CELL("filename",$A$1),FIND("]",CELL("filename",$A$1))+1,31)&amp;$F$1,採点基準_観点別!$F$3:$F$1000)),"C","採点基準が不正です"))))</f>
        <v/>
      </c>
      <c r="W5" s="42"/>
      <c r="X5" s="42" t="str">
        <f>IF(COUNTBLANK(W5)=0,SUM(W5),"未入力")</f>
        <v>未入力</v>
      </c>
      <c r="Y5" s="42" t="str">
        <f>IFERROR(ROUNDDOWN(X5/ (IF(W5= "",0,$W$3))*100,0),"")</f>
        <v/>
      </c>
      <c r="Z5" s="42" t="str" cm="1">
        <f t="array" aca="1" ref="Z5" ca="1">IF(Y5 = "","",IF(Y5&gt;=INDEX(採点基準_観点別!$C$3:$C$1000,_xlfn.XMATCH(MID(CELL("filename",$A$1),FIND("]",CELL("filename",$A$1))+1,31)&amp;$F$1,採点基準_観点別!$F$3:$F$1000)),"A",IF(Y5&gt;=INDEX(採点基準_観点別!$D$3:$D$1000,_xlfn.XMATCH(MID(CELL("filename",$A$1),FIND("]",CELL("filename",$A$1))+1,31)&amp;$F$1,採点基準_観点別!$F$3:$F$1000)),"B",IF(Y5&lt;=INDEX(採点基準_観点別!$E$3:$E$1000,_xlfn.XMATCH(MID(CELL("filename",$A$1),FIND("]",CELL("filename",$A$1))+1,31)&amp;$F$1,採点基準_観点別!$F$3:$F$1000)),"C","採点基準が不正です"))))</f>
        <v/>
      </c>
    </row>
    <row r="6" spans="1:26" x14ac:dyDescent="0.4">
      <c r="A6" s="62">
        <v>2</v>
      </c>
      <c r="B6" s="62" t="s">
        <v>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37" si="0">IF(COUNTBLANK(F6:J6)=0,SUM(F6:J6),"未入力")</f>
        <v>未入力</v>
      </c>
      <c r="L6" s="31" t="str">
        <f t="shared" ref="L6:L37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/>
      <c r="T6" s="31" t="str">
        <f t="shared" ref="T6:T37" si="2">IF(COUNTBLANK(N6:S6)=0,SUM(N6:S6),"未入力")</f>
        <v>未入力</v>
      </c>
      <c r="U6" s="31" t="str">
        <f t="shared" ref="U6:U37" si="3">IFERROR(ROUNDDOWN(T6/ (IF(N6= "",0,$N$3)+IF(O6= "",0,$O$3)+IF(P6= "",0,$P$3)+IF(Q6= "",0,$Q$3)+IF(R6= "",0,$R$3)+IF(S6= "",0,$S$3))*100,0),"")</f>
        <v/>
      </c>
      <c r="V6" s="31" t="str" cm="1">
        <f t="array" aca="1" ref="V6" ca="1">IF(U6 = "","",IF(U6&gt;=INDEX(採点基準_観点別!$C$3:$C$1000,_xlfn.XMATCH(MID(CELL("filename",$A$1),FIND("]",CELL("filename",$A$1))+1,31)&amp;$F$1,採点基準_観点別!$F$3:$F$1000)),"A",IF(U6&gt;=INDEX(採点基準_観点別!$D$3:$D$1000,_xlfn.XMATCH(MID(CELL("filename",$A$1),FIND("]",CELL("filename",$A$1))+1,31)&amp;$F$1,採点基準_観点別!$F$3:$F$1000)),"B",IF(U6&lt;=INDEX(採点基準_観点別!$E$3:$E$1000,_xlfn.XMATCH(MID(CELL("filename",$A$1),FIND("]",CELL("filename",$A$1))+1,31)&amp;$F$1,採点基準_観点別!$F$3:$F$1000)),"C","採点基準が不正です"))))</f>
        <v/>
      </c>
      <c r="W6" s="31"/>
      <c r="X6" s="31" t="str">
        <f t="shared" ref="X6:X37" si="4">IF(COUNTBLANK(W6)=0,SUM(W6),"未入力")</f>
        <v>未入力</v>
      </c>
      <c r="Y6" s="31" t="str">
        <f t="shared" ref="Y6:Y37" si="5">IFERROR(ROUNDDOWN(X6/ (IF(W6= "",0,$W$3))*100,0),"")</f>
        <v/>
      </c>
      <c r="Z6" s="31" t="str" cm="1">
        <f t="array" aca="1" ref="Z6" ca="1">IF(Y6 = "","",IF(Y6&gt;=INDEX(採点基準_観点別!$C$3:$C$1000,_xlfn.XMATCH(MID(CELL("filename",$A$1),FIND("]",CELL("filename",$A$1))+1,31)&amp;$F$1,採点基準_観点別!$F$3:$F$1000)),"A",IF(Y6&gt;=INDEX(採点基準_観点別!$D$3:$D$1000,_xlfn.XMATCH(MID(CELL("filename",$A$1),FIND("]",CELL("filename",$A$1))+1,31)&amp;$F$1,採点基準_観点別!$F$3:$F$1000)),"B",IF(Y6&lt;=INDEX(採点基準_観点別!$E$3:$E$1000,_xlfn.XMATCH(MID(CELL("filename",$A$1),FIND("]",CELL("filename",$A$1))+1,31)&amp;$F$1,採点基準_観点別!$F$3:$F$1000)),"C","採点基準が不正です"))))</f>
        <v/>
      </c>
    </row>
    <row r="7" spans="1:26" x14ac:dyDescent="0.4">
      <c r="A7" s="42">
        <v>3</v>
      </c>
      <c r="B7" s="42" t="s">
        <v>2</v>
      </c>
      <c r="C7" s="42"/>
      <c r="D7" s="42"/>
      <c r="E7" s="42"/>
      <c r="F7" s="42"/>
      <c r="G7" s="42"/>
      <c r="H7" s="42"/>
      <c r="I7" s="42"/>
      <c r="J7" s="42"/>
      <c r="K7" s="42" t="str">
        <f t="shared" si="0"/>
        <v>未入力</v>
      </c>
      <c r="L7" s="42" t="str">
        <f t="shared" si="1"/>
        <v/>
      </c>
      <c r="M7" s="42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2"/>
      <c r="O7" s="42"/>
      <c r="P7" s="42"/>
      <c r="Q7" s="42"/>
      <c r="R7" s="42"/>
      <c r="S7" s="42"/>
      <c r="T7" s="42" t="str">
        <f t="shared" si="2"/>
        <v>未入力</v>
      </c>
      <c r="U7" s="42" t="str">
        <f t="shared" si="3"/>
        <v/>
      </c>
      <c r="V7" s="42" t="str" cm="1">
        <f t="array" aca="1" ref="V7" ca="1">IF(U7 = "","",IF(U7&gt;=INDEX(採点基準_観点別!$C$3:$C$1000,_xlfn.XMATCH(MID(CELL("filename",$A$1),FIND("]",CELL("filename",$A$1))+1,31)&amp;$F$1,採点基準_観点別!$F$3:$F$1000)),"A",IF(U7&gt;=INDEX(採点基準_観点別!$D$3:$D$1000,_xlfn.XMATCH(MID(CELL("filename",$A$1),FIND("]",CELL("filename",$A$1))+1,31)&amp;$F$1,採点基準_観点別!$F$3:$F$1000)),"B",IF(U7&lt;=INDEX(採点基準_観点別!$E$3:$E$1000,_xlfn.XMATCH(MID(CELL("filename",$A$1),FIND("]",CELL("filename",$A$1))+1,31)&amp;$F$1,採点基準_観点別!$F$3:$F$1000)),"C","採点基準が不正です"))))</f>
        <v/>
      </c>
      <c r="W7" s="42"/>
      <c r="X7" s="42" t="str">
        <f t="shared" si="4"/>
        <v>未入力</v>
      </c>
      <c r="Y7" s="42" t="str">
        <f t="shared" si="5"/>
        <v/>
      </c>
      <c r="Z7" s="42" t="str" cm="1">
        <f t="array" aca="1" ref="Z7" ca="1">IF(Y7 = "","",IF(Y7&gt;=INDEX(採点基準_観点別!$C$3:$C$1000,_xlfn.XMATCH(MID(CELL("filename",$A$1),FIND("]",CELL("filename",$A$1))+1,31)&amp;$F$1,採点基準_観点別!$F$3:$F$1000)),"A",IF(Y7&gt;=INDEX(採点基準_観点別!$D$3:$D$1000,_xlfn.XMATCH(MID(CELL("filename",$A$1),FIND("]",CELL("filename",$A$1))+1,31)&amp;$F$1,採点基準_観点別!$F$3:$F$1000)),"B",IF(Y7&lt;=INDEX(採点基準_観点別!$E$3:$E$1000,_xlfn.XMATCH(MID(CELL("filename",$A$1),FIND("]",CELL("filename",$A$1))+1,31)&amp;$F$1,採点基準_観点別!$F$3:$F$1000)),"C","採点基準が不正です"))))</f>
        <v/>
      </c>
    </row>
    <row r="8" spans="1:26" x14ac:dyDescent="0.4">
      <c r="A8" s="62">
        <v>4</v>
      </c>
      <c r="B8" s="62" t="s">
        <v>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/>
      <c r="T8" s="31" t="str">
        <f t="shared" si="2"/>
        <v>未入力</v>
      </c>
      <c r="U8" s="31" t="str">
        <f t="shared" si="3"/>
        <v/>
      </c>
      <c r="V8" s="31" t="str" cm="1">
        <f t="array" aca="1" ref="V8" ca="1">IF(U8 = "","",IF(U8&gt;=INDEX(採点基準_観点別!$C$3:$C$1000,_xlfn.XMATCH(MID(CELL("filename",$A$1),FIND("]",CELL("filename",$A$1))+1,31)&amp;$F$1,採点基準_観点別!$F$3:$F$1000)),"A",IF(U8&gt;=INDEX(採点基準_観点別!$D$3:$D$1000,_xlfn.XMATCH(MID(CELL("filename",$A$1),FIND("]",CELL("filename",$A$1))+1,31)&amp;$F$1,採点基準_観点別!$F$3:$F$1000)),"B",IF(U8&lt;=INDEX(採点基準_観点別!$E$3:$E$1000,_xlfn.XMATCH(MID(CELL("filename",$A$1),FIND("]",CELL("filename",$A$1))+1,31)&amp;$F$1,採点基準_観点別!$F$3:$F$1000)),"C","採点基準が不正です"))))</f>
        <v/>
      </c>
      <c r="W8" s="31"/>
      <c r="X8" s="31" t="str">
        <f t="shared" si="4"/>
        <v>未入力</v>
      </c>
      <c r="Y8" s="31" t="str">
        <f t="shared" si="5"/>
        <v/>
      </c>
      <c r="Z8" s="31" t="str" cm="1">
        <f t="array" aca="1" ref="Z8" ca="1">IF(Y8 = "","",IF(Y8&gt;=INDEX(採点基準_観点別!$C$3:$C$1000,_xlfn.XMATCH(MID(CELL("filename",$A$1),FIND("]",CELL("filename",$A$1))+1,31)&amp;$F$1,採点基準_観点別!$F$3:$F$1000)),"A",IF(Y8&gt;=INDEX(採点基準_観点別!$D$3:$D$1000,_xlfn.XMATCH(MID(CELL("filename",$A$1),FIND("]",CELL("filename",$A$1))+1,31)&amp;$F$1,採点基準_観点別!$F$3:$F$1000)),"B",IF(Y8&lt;=INDEX(採点基準_観点別!$E$3:$E$1000,_xlfn.XMATCH(MID(CELL("filename",$A$1),FIND("]",CELL("filename",$A$1))+1,31)&amp;$F$1,採点基準_観点別!$F$3:$F$1000)),"C","採点基準が不正です"))))</f>
        <v/>
      </c>
    </row>
    <row r="9" spans="1:26" x14ac:dyDescent="0.4">
      <c r="A9" s="42">
        <v>5</v>
      </c>
      <c r="B9" s="42" t="s">
        <v>2</v>
      </c>
      <c r="C9" s="42"/>
      <c r="D9" s="42"/>
      <c r="E9" s="42"/>
      <c r="F9" s="42"/>
      <c r="G9" s="42"/>
      <c r="H9" s="42"/>
      <c r="I9" s="42"/>
      <c r="J9" s="42"/>
      <c r="K9" s="42" t="str">
        <f t="shared" si="0"/>
        <v>未入力</v>
      </c>
      <c r="L9" s="42" t="str">
        <f t="shared" si="1"/>
        <v/>
      </c>
      <c r="M9" s="42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2"/>
      <c r="O9" s="42"/>
      <c r="P9" s="42"/>
      <c r="Q9" s="42"/>
      <c r="R9" s="42"/>
      <c r="S9" s="42"/>
      <c r="T9" s="42" t="str">
        <f t="shared" si="2"/>
        <v>未入力</v>
      </c>
      <c r="U9" s="42" t="str">
        <f t="shared" si="3"/>
        <v/>
      </c>
      <c r="V9" s="42" t="str" cm="1">
        <f t="array" aca="1" ref="V9" ca="1">IF(U9 = "","",IF(U9&gt;=INDEX(採点基準_観点別!$C$3:$C$1000,_xlfn.XMATCH(MID(CELL("filename",$A$1),FIND("]",CELL("filename",$A$1))+1,31)&amp;$F$1,採点基準_観点別!$F$3:$F$1000)),"A",IF(U9&gt;=INDEX(採点基準_観点別!$D$3:$D$1000,_xlfn.XMATCH(MID(CELL("filename",$A$1),FIND("]",CELL("filename",$A$1))+1,31)&amp;$F$1,採点基準_観点別!$F$3:$F$1000)),"B",IF(U9&lt;=INDEX(採点基準_観点別!$E$3:$E$1000,_xlfn.XMATCH(MID(CELL("filename",$A$1),FIND("]",CELL("filename",$A$1))+1,31)&amp;$F$1,採点基準_観点別!$F$3:$F$1000)),"C","採点基準が不正です"))))</f>
        <v/>
      </c>
      <c r="W9" s="42"/>
      <c r="X9" s="42" t="str">
        <f t="shared" si="4"/>
        <v>未入力</v>
      </c>
      <c r="Y9" s="42" t="str">
        <f t="shared" si="5"/>
        <v/>
      </c>
      <c r="Z9" s="42" t="str" cm="1">
        <f t="array" aca="1" ref="Z9" ca="1">IF(Y9 = "","",IF(Y9&gt;=INDEX(採点基準_観点別!$C$3:$C$1000,_xlfn.XMATCH(MID(CELL("filename",$A$1),FIND("]",CELL("filename",$A$1))+1,31)&amp;$F$1,採点基準_観点別!$F$3:$F$1000)),"A",IF(Y9&gt;=INDEX(採点基準_観点別!$D$3:$D$1000,_xlfn.XMATCH(MID(CELL("filename",$A$1),FIND("]",CELL("filename",$A$1))+1,31)&amp;$F$1,採点基準_観点別!$F$3:$F$1000)),"B",IF(Y9&lt;=INDEX(採点基準_観点別!$E$3:$E$1000,_xlfn.XMATCH(MID(CELL("filename",$A$1),FIND("]",CELL("filename",$A$1))+1,31)&amp;$F$1,採点基準_観点別!$F$3:$F$1000)),"C","採点基準が不正です"))))</f>
        <v/>
      </c>
    </row>
    <row r="10" spans="1:26" x14ac:dyDescent="0.4">
      <c r="A10" s="62">
        <v>6</v>
      </c>
      <c r="B10" s="62" t="s">
        <v>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/>
      <c r="T10" s="31" t="str">
        <f t="shared" si="2"/>
        <v>未入力</v>
      </c>
      <c r="U10" s="31" t="str">
        <f t="shared" si="3"/>
        <v/>
      </c>
      <c r="V10" s="31" t="str" cm="1">
        <f t="array" aca="1" ref="V10" ca="1">IF(U10 = "","",IF(U10&gt;=INDEX(採点基準_観点別!$C$3:$C$1000,_xlfn.XMATCH(MID(CELL("filename",$A$1),FIND("]",CELL("filename",$A$1))+1,31)&amp;$F$1,採点基準_観点別!$F$3:$F$1000)),"A",IF(U10&gt;=INDEX(採点基準_観点別!$D$3:$D$1000,_xlfn.XMATCH(MID(CELL("filename",$A$1),FIND("]",CELL("filename",$A$1))+1,31)&amp;$F$1,採点基準_観点別!$F$3:$F$1000)),"B",IF(U10&lt;=INDEX(採点基準_観点別!$E$3:$E$1000,_xlfn.XMATCH(MID(CELL("filename",$A$1),FIND("]",CELL("filename",$A$1))+1,31)&amp;$F$1,採点基準_観点別!$F$3:$F$1000)),"C","採点基準が不正です"))))</f>
        <v/>
      </c>
      <c r="W10" s="31"/>
      <c r="X10" s="31" t="str">
        <f t="shared" si="4"/>
        <v>未入力</v>
      </c>
      <c r="Y10" s="31" t="str">
        <f t="shared" si="5"/>
        <v/>
      </c>
      <c r="Z10" s="31" t="str" cm="1">
        <f t="array" aca="1" ref="Z10" ca="1">IF(Y10 = "","",IF(Y10&gt;=INDEX(採点基準_観点別!$C$3:$C$1000,_xlfn.XMATCH(MID(CELL("filename",$A$1),FIND("]",CELL("filename",$A$1))+1,31)&amp;$F$1,採点基準_観点別!$F$3:$F$1000)),"A",IF(Y10&gt;=INDEX(採点基準_観点別!$D$3:$D$1000,_xlfn.XMATCH(MID(CELL("filename",$A$1),FIND("]",CELL("filename",$A$1))+1,31)&amp;$F$1,採点基準_観点別!$F$3:$F$1000)),"B",IF(Y10&lt;=INDEX(採点基準_観点別!$E$3:$E$1000,_xlfn.XMATCH(MID(CELL("filename",$A$1),FIND("]",CELL("filename",$A$1))+1,31)&amp;$F$1,採点基準_観点別!$F$3:$F$1000)),"C","採点基準が不正です"))))</f>
        <v/>
      </c>
    </row>
    <row r="11" spans="1:26" x14ac:dyDescent="0.4">
      <c r="A11" s="42">
        <v>7</v>
      </c>
      <c r="B11" s="42" t="s">
        <v>2</v>
      </c>
      <c r="C11" s="42"/>
      <c r="D11" s="42"/>
      <c r="E11" s="42"/>
      <c r="F11" s="42"/>
      <c r="G11" s="42"/>
      <c r="H11" s="42"/>
      <c r="I11" s="42"/>
      <c r="J11" s="42"/>
      <c r="K11" s="42" t="str">
        <f t="shared" si="0"/>
        <v>未入力</v>
      </c>
      <c r="L11" s="42" t="str">
        <f t="shared" si="1"/>
        <v/>
      </c>
      <c r="M11" s="42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2"/>
      <c r="O11" s="42"/>
      <c r="P11" s="42"/>
      <c r="Q11" s="42"/>
      <c r="R11" s="42"/>
      <c r="S11" s="42"/>
      <c r="T11" s="42" t="str">
        <f t="shared" si="2"/>
        <v>未入力</v>
      </c>
      <c r="U11" s="42" t="str">
        <f t="shared" si="3"/>
        <v/>
      </c>
      <c r="V11" s="42" t="str" cm="1">
        <f t="array" aca="1" ref="V11" ca="1">IF(U11 = "","",IF(U11&gt;=INDEX(採点基準_観点別!$C$3:$C$1000,_xlfn.XMATCH(MID(CELL("filename",$A$1),FIND("]",CELL("filename",$A$1))+1,31)&amp;$F$1,採点基準_観点別!$F$3:$F$1000)),"A",IF(U11&gt;=INDEX(採点基準_観点別!$D$3:$D$1000,_xlfn.XMATCH(MID(CELL("filename",$A$1),FIND("]",CELL("filename",$A$1))+1,31)&amp;$F$1,採点基準_観点別!$F$3:$F$1000)),"B",IF(U11&lt;=INDEX(採点基準_観点別!$E$3:$E$1000,_xlfn.XMATCH(MID(CELL("filename",$A$1),FIND("]",CELL("filename",$A$1))+1,31)&amp;$F$1,採点基準_観点別!$F$3:$F$1000)),"C","採点基準が不正です"))))</f>
        <v/>
      </c>
      <c r="W11" s="42"/>
      <c r="X11" s="42" t="str">
        <f t="shared" si="4"/>
        <v>未入力</v>
      </c>
      <c r="Y11" s="42" t="str">
        <f t="shared" si="5"/>
        <v/>
      </c>
      <c r="Z11" s="42" t="str" cm="1">
        <f t="array" aca="1" ref="Z11" ca="1">IF(Y11 = "","",IF(Y11&gt;=INDEX(採点基準_観点別!$C$3:$C$1000,_xlfn.XMATCH(MID(CELL("filename",$A$1),FIND("]",CELL("filename",$A$1))+1,31)&amp;$F$1,採点基準_観点別!$F$3:$F$1000)),"A",IF(Y11&gt;=INDEX(採点基準_観点別!$D$3:$D$1000,_xlfn.XMATCH(MID(CELL("filename",$A$1),FIND("]",CELL("filename",$A$1))+1,31)&amp;$F$1,採点基準_観点別!$F$3:$F$1000)),"B",IF(Y11&lt;=INDEX(採点基準_観点別!$E$3:$E$1000,_xlfn.XMATCH(MID(CELL("filename",$A$1),FIND("]",CELL("filename",$A$1))+1,31)&amp;$F$1,採点基準_観点別!$F$3:$F$1000)),"C","採点基準が不正です"))))</f>
        <v/>
      </c>
    </row>
    <row r="12" spans="1:26" x14ac:dyDescent="0.4">
      <c r="A12" s="62">
        <v>8</v>
      </c>
      <c r="B12" s="62" t="s">
        <v>2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/>
      <c r="T12" s="31" t="str">
        <f t="shared" si="2"/>
        <v>未入力</v>
      </c>
      <c r="U12" s="31" t="str">
        <f t="shared" si="3"/>
        <v/>
      </c>
      <c r="V12" s="31" t="str" cm="1">
        <f t="array" aca="1" ref="V12" ca="1">IF(U12 = "","",IF(U12&gt;=INDEX(採点基準_観点別!$C$3:$C$1000,_xlfn.XMATCH(MID(CELL("filename",$A$1),FIND("]",CELL("filename",$A$1))+1,31)&amp;$F$1,採点基準_観点別!$F$3:$F$1000)),"A",IF(U12&gt;=INDEX(採点基準_観点別!$D$3:$D$1000,_xlfn.XMATCH(MID(CELL("filename",$A$1),FIND("]",CELL("filename",$A$1))+1,31)&amp;$F$1,採点基準_観点別!$F$3:$F$1000)),"B",IF(U12&lt;=INDEX(採点基準_観点別!$E$3:$E$1000,_xlfn.XMATCH(MID(CELL("filename",$A$1),FIND("]",CELL("filename",$A$1))+1,31)&amp;$F$1,採点基準_観点別!$F$3:$F$1000)),"C","採点基準が不正です"))))</f>
        <v/>
      </c>
      <c r="W12" s="31"/>
      <c r="X12" s="31" t="str">
        <f t="shared" si="4"/>
        <v>未入力</v>
      </c>
      <c r="Y12" s="31" t="str">
        <f t="shared" si="5"/>
        <v/>
      </c>
      <c r="Z12" s="31" t="str" cm="1">
        <f t="array" aca="1" ref="Z12" ca="1">IF(Y12 = "","",IF(Y12&gt;=INDEX(採点基準_観点別!$C$3:$C$1000,_xlfn.XMATCH(MID(CELL("filename",$A$1),FIND("]",CELL("filename",$A$1))+1,31)&amp;$F$1,採点基準_観点別!$F$3:$F$1000)),"A",IF(Y12&gt;=INDEX(採点基準_観点別!$D$3:$D$1000,_xlfn.XMATCH(MID(CELL("filename",$A$1),FIND("]",CELL("filename",$A$1))+1,31)&amp;$F$1,採点基準_観点別!$F$3:$F$1000)),"B",IF(Y12&lt;=INDEX(採点基準_観点別!$E$3:$E$1000,_xlfn.XMATCH(MID(CELL("filename",$A$1),FIND("]",CELL("filename",$A$1))+1,31)&amp;$F$1,採点基準_観点別!$F$3:$F$1000)),"C","採点基準が不正です"))))</f>
        <v/>
      </c>
    </row>
    <row r="13" spans="1:26" x14ac:dyDescent="0.4">
      <c r="A13" s="42">
        <v>9</v>
      </c>
      <c r="B13" s="42" t="s">
        <v>2</v>
      </c>
      <c r="C13" s="42"/>
      <c r="D13" s="42"/>
      <c r="E13" s="42"/>
      <c r="F13" s="42"/>
      <c r="G13" s="42"/>
      <c r="H13" s="42"/>
      <c r="I13" s="42"/>
      <c r="J13" s="42"/>
      <c r="K13" s="42" t="str">
        <f t="shared" si="0"/>
        <v>未入力</v>
      </c>
      <c r="L13" s="42" t="str">
        <f t="shared" si="1"/>
        <v/>
      </c>
      <c r="M13" s="42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2"/>
      <c r="O13" s="42"/>
      <c r="P13" s="42"/>
      <c r="Q13" s="42"/>
      <c r="R13" s="42"/>
      <c r="S13" s="42"/>
      <c r="T13" s="42" t="str">
        <f t="shared" si="2"/>
        <v>未入力</v>
      </c>
      <c r="U13" s="42" t="str">
        <f t="shared" si="3"/>
        <v/>
      </c>
      <c r="V13" s="42" t="str" cm="1">
        <f t="array" aca="1" ref="V13" ca="1">IF(U13 = "","",IF(U13&gt;=INDEX(採点基準_観点別!$C$3:$C$1000,_xlfn.XMATCH(MID(CELL("filename",$A$1),FIND("]",CELL("filename",$A$1))+1,31)&amp;$F$1,採点基準_観点別!$F$3:$F$1000)),"A",IF(U13&gt;=INDEX(採点基準_観点別!$D$3:$D$1000,_xlfn.XMATCH(MID(CELL("filename",$A$1),FIND("]",CELL("filename",$A$1))+1,31)&amp;$F$1,採点基準_観点別!$F$3:$F$1000)),"B",IF(U13&lt;=INDEX(採点基準_観点別!$E$3:$E$1000,_xlfn.XMATCH(MID(CELL("filename",$A$1),FIND("]",CELL("filename",$A$1))+1,31)&amp;$F$1,採点基準_観点別!$F$3:$F$1000)),"C","採点基準が不正です"))))</f>
        <v/>
      </c>
      <c r="W13" s="42"/>
      <c r="X13" s="42" t="str">
        <f t="shared" si="4"/>
        <v>未入力</v>
      </c>
      <c r="Y13" s="42" t="str">
        <f t="shared" si="5"/>
        <v/>
      </c>
      <c r="Z13" s="42" t="str" cm="1">
        <f t="array" aca="1" ref="Z13" ca="1">IF(Y13 = "","",IF(Y13&gt;=INDEX(採点基準_観点別!$C$3:$C$1000,_xlfn.XMATCH(MID(CELL("filename",$A$1),FIND("]",CELL("filename",$A$1))+1,31)&amp;$F$1,採点基準_観点別!$F$3:$F$1000)),"A",IF(Y13&gt;=INDEX(採点基準_観点別!$D$3:$D$1000,_xlfn.XMATCH(MID(CELL("filename",$A$1),FIND("]",CELL("filename",$A$1))+1,31)&amp;$F$1,採点基準_観点別!$F$3:$F$1000)),"B",IF(Y13&lt;=INDEX(採点基準_観点別!$E$3:$E$1000,_xlfn.XMATCH(MID(CELL("filename",$A$1),FIND("]",CELL("filename",$A$1))+1,31)&amp;$F$1,採点基準_観点別!$F$3:$F$1000)),"C","採点基準が不正です"))))</f>
        <v/>
      </c>
    </row>
    <row r="14" spans="1:26" x14ac:dyDescent="0.4">
      <c r="A14" s="62">
        <v>10</v>
      </c>
      <c r="B14" s="62" t="s">
        <v>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/>
      <c r="T14" s="31" t="str">
        <f t="shared" si="2"/>
        <v>未入力</v>
      </c>
      <c r="U14" s="31" t="str">
        <f t="shared" si="3"/>
        <v/>
      </c>
      <c r="V14" s="31" t="str" cm="1">
        <f t="array" aca="1" ref="V14" ca="1">IF(U14 = "","",IF(U14&gt;=INDEX(採点基準_観点別!$C$3:$C$1000,_xlfn.XMATCH(MID(CELL("filename",$A$1),FIND("]",CELL("filename",$A$1))+1,31)&amp;$F$1,採点基準_観点別!$F$3:$F$1000)),"A",IF(U14&gt;=INDEX(採点基準_観点別!$D$3:$D$1000,_xlfn.XMATCH(MID(CELL("filename",$A$1),FIND("]",CELL("filename",$A$1))+1,31)&amp;$F$1,採点基準_観点別!$F$3:$F$1000)),"B",IF(U14&lt;=INDEX(採点基準_観点別!$E$3:$E$1000,_xlfn.XMATCH(MID(CELL("filename",$A$1),FIND("]",CELL("filename",$A$1))+1,31)&amp;$F$1,採点基準_観点別!$F$3:$F$1000)),"C","採点基準が不正です"))))</f>
        <v/>
      </c>
      <c r="W14" s="31"/>
      <c r="X14" s="31" t="str">
        <f t="shared" si="4"/>
        <v>未入力</v>
      </c>
      <c r="Y14" s="31" t="str">
        <f t="shared" si="5"/>
        <v/>
      </c>
      <c r="Z14" s="31" t="str" cm="1">
        <f t="array" aca="1" ref="Z14" ca="1">IF(Y14 = "","",IF(Y14&gt;=INDEX(採点基準_観点別!$C$3:$C$1000,_xlfn.XMATCH(MID(CELL("filename",$A$1),FIND("]",CELL("filename",$A$1))+1,31)&amp;$F$1,採点基準_観点別!$F$3:$F$1000)),"A",IF(Y14&gt;=INDEX(採点基準_観点別!$D$3:$D$1000,_xlfn.XMATCH(MID(CELL("filename",$A$1),FIND("]",CELL("filename",$A$1))+1,31)&amp;$F$1,採点基準_観点別!$F$3:$F$1000)),"B",IF(Y14&lt;=INDEX(採点基準_観点別!$E$3:$E$1000,_xlfn.XMATCH(MID(CELL("filename",$A$1),FIND("]",CELL("filename",$A$1))+1,31)&amp;$F$1,採点基準_観点別!$F$3:$F$1000)),"C","採点基準が不正です"))))</f>
        <v/>
      </c>
    </row>
    <row r="15" spans="1:26" x14ac:dyDescent="0.4">
      <c r="A15" s="42">
        <v>11</v>
      </c>
      <c r="B15" s="42" t="s">
        <v>2</v>
      </c>
      <c r="C15" s="42"/>
      <c r="D15" s="42"/>
      <c r="E15" s="42"/>
      <c r="F15" s="42"/>
      <c r="G15" s="42"/>
      <c r="H15" s="42"/>
      <c r="I15" s="42"/>
      <c r="J15" s="42"/>
      <c r="K15" s="42" t="str">
        <f t="shared" si="0"/>
        <v>未入力</v>
      </c>
      <c r="L15" s="42" t="str">
        <f t="shared" si="1"/>
        <v/>
      </c>
      <c r="M15" s="42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2"/>
      <c r="O15" s="42"/>
      <c r="P15" s="42"/>
      <c r="Q15" s="42"/>
      <c r="R15" s="42"/>
      <c r="S15" s="42"/>
      <c r="T15" s="42" t="str">
        <f t="shared" si="2"/>
        <v>未入力</v>
      </c>
      <c r="U15" s="42" t="str">
        <f t="shared" si="3"/>
        <v/>
      </c>
      <c r="V15" s="42" t="str" cm="1">
        <f t="array" aca="1" ref="V15" ca="1">IF(U15 = "","",IF(U15&gt;=INDEX(採点基準_観点別!$C$3:$C$1000,_xlfn.XMATCH(MID(CELL("filename",$A$1),FIND("]",CELL("filename",$A$1))+1,31)&amp;$F$1,採点基準_観点別!$F$3:$F$1000)),"A",IF(U15&gt;=INDEX(採点基準_観点別!$D$3:$D$1000,_xlfn.XMATCH(MID(CELL("filename",$A$1),FIND("]",CELL("filename",$A$1))+1,31)&amp;$F$1,採点基準_観点別!$F$3:$F$1000)),"B",IF(U15&lt;=INDEX(採点基準_観点別!$E$3:$E$1000,_xlfn.XMATCH(MID(CELL("filename",$A$1),FIND("]",CELL("filename",$A$1))+1,31)&amp;$F$1,採点基準_観点別!$F$3:$F$1000)),"C","採点基準が不正です"))))</f>
        <v/>
      </c>
      <c r="W15" s="42"/>
      <c r="X15" s="42" t="str">
        <f t="shared" si="4"/>
        <v>未入力</v>
      </c>
      <c r="Y15" s="42" t="str">
        <f t="shared" si="5"/>
        <v/>
      </c>
      <c r="Z15" s="42" t="str" cm="1">
        <f t="array" aca="1" ref="Z15" ca="1">IF(Y15 = "","",IF(Y15&gt;=INDEX(採点基準_観点別!$C$3:$C$1000,_xlfn.XMATCH(MID(CELL("filename",$A$1),FIND("]",CELL("filename",$A$1))+1,31)&amp;$F$1,採点基準_観点別!$F$3:$F$1000)),"A",IF(Y15&gt;=INDEX(採点基準_観点別!$D$3:$D$1000,_xlfn.XMATCH(MID(CELL("filename",$A$1),FIND("]",CELL("filename",$A$1))+1,31)&amp;$F$1,採点基準_観点別!$F$3:$F$1000)),"B",IF(Y15&lt;=INDEX(採点基準_観点別!$E$3:$E$1000,_xlfn.XMATCH(MID(CELL("filename",$A$1),FIND("]",CELL("filename",$A$1))+1,31)&amp;$F$1,採点基準_観点別!$F$3:$F$1000)),"C","採点基準が不正です"))))</f>
        <v/>
      </c>
    </row>
    <row r="16" spans="1:26" x14ac:dyDescent="0.4">
      <c r="A16" s="62">
        <v>12</v>
      </c>
      <c r="B16" s="62" t="s">
        <v>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/>
      <c r="T16" s="31" t="str">
        <f t="shared" si="2"/>
        <v>未入力</v>
      </c>
      <c r="U16" s="31" t="str">
        <f t="shared" si="3"/>
        <v/>
      </c>
      <c r="V16" s="31" t="str" cm="1">
        <f t="array" aca="1" ref="V16" ca="1">IF(U16 = "","",IF(U16&gt;=INDEX(採点基準_観点別!$C$3:$C$1000,_xlfn.XMATCH(MID(CELL("filename",$A$1),FIND("]",CELL("filename",$A$1))+1,31)&amp;$F$1,採点基準_観点別!$F$3:$F$1000)),"A",IF(U16&gt;=INDEX(採点基準_観点別!$D$3:$D$1000,_xlfn.XMATCH(MID(CELL("filename",$A$1),FIND("]",CELL("filename",$A$1))+1,31)&amp;$F$1,採点基準_観点別!$F$3:$F$1000)),"B",IF(U16&lt;=INDEX(採点基準_観点別!$E$3:$E$1000,_xlfn.XMATCH(MID(CELL("filename",$A$1),FIND("]",CELL("filename",$A$1))+1,31)&amp;$F$1,採点基準_観点別!$F$3:$F$1000)),"C","採点基準が不正です"))))</f>
        <v/>
      </c>
      <c r="W16" s="31"/>
      <c r="X16" s="31" t="str">
        <f t="shared" si="4"/>
        <v>未入力</v>
      </c>
      <c r="Y16" s="31" t="str">
        <f t="shared" si="5"/>
        <v/>
      </c>
      <c r="Z16" s="31" t="str" cm="1">
        <f t="array" aca="1" ref="Z16" ca="1">IF(Y16 = "","",IF(Y16&gt;=INDEX(採点基準_観点別!$C$3:$C$1000,_xlfn.XMATCH(MID(CELL("filename",$A$1),FIND("]",CELL("filename",$A$1))+1,31)&amp;$F$1,採点基準_観点別!$F$3:$F$1000)),"A",IF(Y16&gt;=INDEX(採点基準_観点別!$D$3:$D$1000,_xlfn.XMATCH(MID(CELL("filename",$A$1),FIND("]",CELL("filename",$A$1))+1,31)&amp;$F$1,採点基準_観点別!$F$3:$F$1000)),"B",IF(Y16&lt;=INDEX(採点基準_観点別!$E$3:$E$1000,_xlfn.XMATCH(MID(CELL("filename",$A$1),FIND("]",CELL("filename",$A$1))+1,31)&amp;$F$1,採点基準_観点別!$F$3:$F$1000)),"C","採点基準が不正です"))))</f>
        <v/>
      </c>
    </row>
    <row r="17" spans="1:26" x14ac:dyDescent="0.4">
      <c r="A17" s="42">
        <v>13</v>
      </c>
      <c r="B17" s="42" t="s">
        <v>2</v>
      </c>
      <c r="C17" s="42"/>
      <c r="D17" s="42"/>
      <c r="E17" s="42"/>
      <c r="F17" s="42"/>
      <c r="G17" s="42"/>
      <c r="H17" s="42"/>
      <c r="I17" s="42"/>
      <c r="J17" s="42"/>
      <c r="K17" s="42" t="str">
        <f t="shared" si="0"/>
        <v>未入力</v>
      </c>
      <c r="L17" s="42" t="str">
        <f t="shared" si="1"/>
        <v/>
      </c>
      <c r="M17" s="42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2"/>
      <c r="O17" s="42"/>
      <c r="P17" s="42"/>
      <c r="Q17" s="42"/>
      <c r="R17" s="42"/>
      <c r="S17" s="42"/>
      <c r="T17" s="42" t="str">
        <f t="shared" si="2"/>
        <v>未入力</v>
      </c>
      <c r="U17" s="42" t="str">
        <f t="shared" si="3"/>
        <v/>
      </c>
      <c r="V17" s="42" t="str" cm="1">
        <f t="array" aca="1" ref="V17" ca="1">IF(U17 = "","",IF(U17&gt;=INDEX(採点基準_観点別!$C$3:$C$1000,_xlfn.XMATCH(MID(CELL("filename",$A$1),FIND("]",CELL("filename",$A$1))+1,31)&amp;$F$1,採点基準_観点別!$F$3:$F$1000)),"A",IF(U17&gt;=INDEX(採点基準_観点別!$D$3:$D$1000,_xlfn.XMATCH(MID(CELL("filename",$A$1),FIND("]",CELL("filename",$A$1))+1,31)&amp;$F$1,採点基準_観点別!$F$3:$F$1000)),"B",IF(U17&lt;=INDEX(採点基準_観点別!$E$3:$E$1000,_xlfn.XMATCH(MID(CELL("filename",$A$1),FIND("]",CELL("filename",$A$1))+1,31)&amp;$F$1,採点基準_観点別!$F$3:$F$1000)),"C","採点基準が不正です"))))</f>
        <v/>
      </c>
      <c r="W17" s="42"/>
      <c r="X17" s="42" t="str">
        <f t="shared" si="4"/>
        <v>未入力</v>
      </c>
      <c r="Y17" s="42" t="str">
        <f t="shared" si="5"/>
        <v/>
      </c>
      <c r="Z17" s="42" t="str" cm="1">
        <f t="array" aca="1" ref="Z17" ca="1">IF(Y17 = "","",IF(Y17&gt;=INDEX(採点基準_観点別!$C$3:$C$1000,_xlfn.XMATCH(MID(CELL("filename",$A$1),FIND("]",CELL("filename",$A$1))+1,31)&amp;$F$1,採点基準_観点別!$F$3:$F$1000)),"A",IF(Y17&gt;=INDEX(採点基準_観点別!$D$3:$D$1000,_xlfn.XMATCH(MID(CELL("filename",$A$1),FIND("]",CELL("filename",$A$1))+1,31)&amp;$F$1,採点基準_観点別!$F$3:$F$1000)),"B",IF(Y17&lt;=INDEX(採点基準_観点別!$E$3:$E$1000,_xlfn.XMATCH(MID(CELL("filename",$A$1),FIND("]",CELL("filename",$A$1))+1,31)&amp;$F$1,採点基準_観点別!$F$3:$F$1000)),"C","採点基準が不正です"))))</f>
        <v/>
      </c>
    </row>
    <row r="18" spans="1:26" x14ac:dyDescent="0.4">
      <c r="A18" s="62">
        <v>14</v>
      </c>
      <c r="B18" s="62" t="s">
        <v>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/>
      <c r="T18" s="31" t="str">
        <f t="shared" si="2"/>
        <v>未入力</v>
      </c>
      <c r="U18" s="31" t="str">
        <f t="shared" si="3"/>
        <v/>
      </c>
      <c r="V18" s="31" t="str" cm="1">
        <f t="array" aca="1" ref="V18" ca="1">IF(U18 = "","",IF(U18&gt;=INDEX(採点基準_観点別!$C$3:$C$1000,_xlfn.XMATCH(MID(CELL("filename",$A$1),FIND("]",CELL("filename",$A$1))+1,31)&amp;$F$1,採点基準_観点別!$F$3:$F$1000)),"A",IF(U18&gt;=INDEX(採点基準_観点別!$D$3:$D$1000,_xlfn.XMATCH(MID(CELL("filename",$A$1),FIND("]",CELL("filename",$A$1))+1,31)&amp;$F$1,採点基準_観点別!$F$3:$F$1000)),"B",IF(U18&lt;=INDEX(採点基準_観点別!$E$3:$E$1000,_xlfn.XMATCH(MID(CELL("filename",$A$1),FIND("]",CELL("filename",$A$1))+1,31)&amp;$F$1,採点基準_観点別!$F$3:$F$1000)),"C","採点基準が不正です"))))</f>
        <v/>
      </c>
      <c r="W18" s="31"/>
      <c r="X18" s="31" t="str">
        <f t="shared" si="4"/>
        <v>未入力</v>
      </c>
      <c r="Y18" s="31" t="str">
        <f t="shared" si="5"/>
        <v/>
      </c>
      <c r="Z18" s="31" t="str" cm="1">
        <f t="array" aca="1" ref="Z18" ca="1">IF(Y18 = "","",IF(Y18&gt;=INDEX(採点基準_観点別!$C$3:$C$1000,_xlfn.XMATCH(MID(CELL("filename",$A$1),FIND("]",CELL("filename",$A$1))+1,31)&amp;$F$1,採点基準_観点別!$F$3:$F$1000)),"A",IF(Y18&gt;=INDEX(採点基準_観点別!$D$3:$D$1000,_xlfn.XMATCH(MID(CELL("filename",$A$1),FIND("]",CELL("filename",$A$1))+1,31)&amp;$F$1,採点基準_観点別!$F$3:$F$1000)),"B",IF(Y18&lt;=INDEX(採点基準_観点別!$E$3:$E$1000,_xlfn.XMATCH(MID(CELL("filename",$A$1),FIND("]",CELL("filename",$A$1))+1,31)&amp;$F$1,採点基準_観点別!$F$3:$F$1000)),"C","採点基準が不正です"))))</f>
        <v/>
      </c>
    </row>
    <row r="19" spans="1:26" x14ac:dyDescent="0.4">
      <c r="A19" s="42">
        <v>14</v>
      </c>
      <c r="B19" s="42" t="s">
        <v>2</v>
      </c>
      <c r="C19" s="42"/>
      <c r="D19" s="42"/>
      <c r="E19" s="42"/>
      <c r="F19" s="42"/>
      <c r="G19" s="42"/>
      <c r="H19" s="42"/>
      <c r="I19" s="42"/>
      <c r="J19" s="42"/>
      <c r="K19" s="42" t="str">
        <f t="shared" si="0"/>
        <v>未入力</v>
      </c>
      <c r="L19" s="42" t="str">
        <f t="shared" si="1"/>
        <v/>
      </c>
      <c r="M19" s="42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2"/>
      <c r="O19" s="42"/>
      <c r="P19" s="42"/>
      <c r="Q19" s="42"/>
      <c r="R19" s="42"/>
      <c r="S19" s="42"/>
      <c r="T19" s="42" t="str">
        <f t="shared" si="2"/>
        <v>未入力</v>
      </c>
      <c r="U19" s="42" t="str">
        <f t="shared" si="3"/>
        <v/>
      </c>
      <c r="V19" s="42" t="str" cm="1">
        <f t="array" aca="1" ref="V19" ca="1">IF(U19 = "","",IF(U19&gt;=INDEX(採点基準_観点別!$C$3:$C$1000,_xlfn.XMATCH(MID(CELL("filename",$A$1),FIND("]",CELL("filename",$A$1))+1,31)&amp;$F$1,採点基準_観点別!$F$3:$F$1000)),"A",IF(U19&gt;=INDEX(採点基準_観点別!$D$3:$D$1000,_xlfn.XMATCH(MID(CELL("filename",$A$1),FIND("]",CELL("filename",$A$1))+1,31)&amp;$F$1,採点基準_観点別!$F$3:$F$1000)),"B",IF(U19&lt;=INDEX(採点基準_観点別!$E$3:$E$1000,_xlfn.XMATCH(MID(CELL("filename",$A$1),FIND("]",CELL("filename",$A$1))+1,31)&amp;$F$1,採点基準_観点別!$F$3:$F$1000)),"C","採点基準が不正です"))))</f>
        <v/>
      </c>
      <c r="W19" s="42"/>
      <c r="X19" s="42" t="str">
        <f t="shared" si="4"/>
        <v>未入力</v>
      </c>
      <c r="Y19" s="42" t="str">
        <f t="shared" si="5"/>
        <v/>
      </c>
      <c r="Z19" s="42" t="str" cm="1">
        <f t="array" aca="1" ref="Z19" ca="1">IF(Y19 = "","",IF(Y19&gt;=INDEX(採点基準_観点別!$C$3:$C$1000,_xlfn.XMATCH(MID(CELL("filename",$A$1),FIND("]",CELL("filename",$A$1))+1,31)&amp;$F$1,採点基準_観点別!$F$3:$F$1000)),"A",IF(Y19&gt;=INDEX(採点基準_観点別!$D$3:$D$1000,_xlfn.XMATCH(MID(CELL("filename",$A$1),FIND("]",CELL("filename",$A$1))+1,31)&amp;$F$1,採点基準_観点別!$F$3:$F$1000)),"B",IF(Y19&lt;=INDEX(採点基準_観点別!$E$3:$E$1000,_xlfn.XMATCH(MID(CELL("filename",$A$1),FIND("]",CELL("filename",$A$1))+1,31)&amp;$F$1,採点基準_観点別!$F$3:$F$1000)),"C","採点基準が不正です"))))</f>
        <v/>
      </c>
    </row>
    <row r="20" spans="1:26" x14ac:dyDescent="0.4">
      <c r="A20" s="62">
        <v>14</v>
      </c>
      <c r="B20" s="62" t="s">
        <v>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/>
      <c r="T20" s="31" t="str">
        <f t="shared" si="2"/>
        <v>未入力</v>
      </c>
      <c r="U20" s="31" t="str">
        <f t="shared" si="3"/>
        <v/>
      </c>
      <c r="V20" s="31" t="str" cm="1">
        <f t="array" aca="1" ref="V20" ca="1">IF(U20 = "","",IF(U20&gt;=INDEX(採点基準_観点別!$C$3:$C$1000,_xlfn.XMATCH(MID(CELL("filename",$A$1),FIND("]",CELL("filename",$A$1))+1,31)&amp;$F$1,採点基準_観点別!$F$3:$F$1000)),"A",IF(U20&gt;=INDEX(採点基準_観点別!$D$3:$D$1000,_xlfn.XMATCH(MID(CELL("filename",$A$1),FIND("]",CELL("filename",$A$1))+1,31)&amp;$F$1,採点基準_観点別!$F$3:$F$1000)),"B",IF(U20&lt;=INDEX(採点基準_観点別!$E$3:$E$1000,_xlfn.XMATCH(MID(CELL("filename",$A$1),FIND("]",CELL("filename",$A$1))+1,31)&amp;$F$1,採点基準_観点別!$F$3:$F$1000)),"C","採点基準が不正です"))))</f>
        <v/>
      </c>
      <c r="W20" s="31"/>
      <c r="X20" s="31" t="str">
        <f t="shared" si="4"/>
        <v>未入力</v>
      </c>
      <c r="Y20" s="31" t="str">
        <f t="shared" si="5"/>
        <v/>
      </c>
      <c r="Z20" s="31" t="str" cm="1">
        <f t="array" aca="1" ref="Z20" ca="1">IF(Y20 = "","",IF(Y20&gt;=INDEX(採点基準_観点別!$C$3:$C$1000,_xlfn.XMATCH(MID(CELL("filename",$A$1),FIND("]",CELL("filename",$A$1))+1,31)&amp;$F$1,採点基準_観点別!$F$3:$F$1000)),"A",IF(Y20&gt;=INDEX(採点基準_観点別!$D$3:$D$1000,_xlfn.XMATCH(MID(CELL("filename",$A$1),FIND("]",CELL("filename",$A$1))+1,31)&amp;$F$1,採点基準_観点別!$F$3:$F$1000)),"B",IF(Y20&lt;=INDEX(採点基準_観点別!$E$3:$E$1000,_xlfn.XMATCH(MID(CELL("filename",$A$1),FIND("]",CELL("filename",$A$1))+1,31)&amp;$F$1,採点基準_観点別!$F$3:$F$1000)),"C","採点基準が不正です"))))</f>
        <v/>
      </c>
    </row>
    <row r="21" spans="1:26" x14ac:dyDescent="0.4">
      <c r="A21" s="42">
        <v>14</v>
      </c>
      <c r="B21" s="42" t="s">
        <v>2</v>
      </c>
      <c r="C21" s="42"/>
      <c r="D21" s="42"/>
      <c r="E21" s="42"/>
      <c r="F21" s="42"/>
      <c r="G21" s="42"/>
      <c r="H21" s="42"/>
      <c r="I21" s="42"/>
      <c r="J21" s="42"/>
      <c r="K21" s="42" t="str">
        <f t="shared" si="0"/>
        <v>未入力</v>
      </c>
      <c r="L21" s="42" t="str">
        <f t="shared" si="1"/>
        <v/>
      </c>
      <c r="M21" s="42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2"/>
      <c r="O21" s="42"/>
      <c r="P21" s="42"/>
      <c r="Q21" s="42"/>
      <c r="R21" s="42"/>
      <c r="S21" s="42"/>
      <c r="T21" s="42" t="str">
        <f t="shared" si="2"/>
        <v>未入力</v>
      </c>
      <c r="U21" s="42" t="str">
        <f t="shared" si="3"/>
        <v/>
      </c>
      <c r="V21" s="42" t="str" cm="1">
        <f t="array" aca="1" ref="V21" ca="1">IF(U21 = "","",IF(U21&gt;=INDEX(採点基準_観点別!$C$3:$C$1000,_xlfn.XMATCH(MID(CELL("filename",$A$1),FIND("]",CELL("filename",$A$1))+1,31)&amp;$F$1,採点基準_観点別!$F$3:$F$1000)),"A",IF(U21&gt;=INDEX(採点基準_観点別!$D$3:$D$1000,_xlfn.XMATCH(MID(CELL("filename",$A$1),FIND("]",CELL("filename",$A$1))+1,31)&amp;$F$1,採点基準_観点別!$F$3:$F$1000)),"B",IF(U21&lt;=INDEX(採点基準_観点別!$E$3:$E$1000,_xlfn.XMATCH(MID(CELL("filename",$A$1),FIND("]",CELL("filename",$A$1))+1,31)&amp;$F$1,採点基準_観点別!$F$3:$F$1000)),"C","採点基準が不正です"))))</f>
        <v/>
      </c>
      <c r="W21" s="42"/>
      <c r="X21" s="42" t="str">
        <f t="shared" si="4"/>
        <v>未入力</v>
      </c>
      <c r="Y21" s="42" t="str">
        <f t="shared" si="5"/>
        <v/>
      </c>
      <c r="Z21" s="42" t="str" cm="1">
        <f t="array" aca="1" ref="Z21" ca="1">IF(Y21 = "","",IF(Y21&gt;=INDEX(採点基準_観点別!$C$3:$C$1000,_xlfn.XMATCH(MID(CELL("filename",$A$1),FIND("]",CELL("filename",$A$1))+1,31)&amp;$F$1,採点基準_観点別!$F$3:$F$1000)),"A",IF(Y21&gt;=INDEX(採点基準_観点別!$D$3:$D$1000,_xlfn.XMATCH(MID(CELL("filename",$A$1),FIND("]",CELL("filename",$A$1))+1,31)&amp;$F$1,採点基準_観点別!$F$3:$F$1000)),"B",IF(Y21&lt;=INDEX(採点基準_観点別!$E$3:$E$1000,_xlfn.XMATCH(MID(CELL("filename",$A$1),FIND("]",CELL("filename",$A$1))+1,31)&amp;$F$1,採点基準_観点別!$F$3:$F$1000)),"C","採点基準が不正です"))))</f>
        <v/>
      </c>
    </row>
    <row r="22" spans="1:26" x14ac:dyDescent="0.4">
      <c r="A22" s="62">
        <v>14</v>
      </c>
      <c r="B22" s="62" t="s">
        <v>2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/>
      <c r="T22" s="31" t="str">
        <f t="shared" si="2"/>
        <v>未入力</v>
      </c>
      <c r="U22" s="31" t="str">
        <f t="shared" si="3"/>
        <v/>
      </c>
      <c r="V22" s="31" t="str" cm="1">
        <f t="array" aca="1" ref="V22" ca="1">IF(U22 = "","",IF(U22&gt;=INDEX(採点基準_観点別!$C$3:$C$1000,_xlfn.XMATCH(MID(CELL("filename",$A$1),FIND("]",CELL("filename",$A$1))+1,31)&amp;$F$1,採点基準_観点別!$F$3:$F$1000)),"A",IF(U22&gt;=INDEX(採点基準_観点別!$D$3:$D$1000,_xlfn.XMATCH(MID(CELL("filename",$A$1),FIND("]",CELL("filename",$A$1))+1,31)&amp;$F$1,採点基準_観点別!$F$3:$F$1000)),"B",IF(U22&lt;=INDEX(採点基準_観点別!$E$3:$E$1000,_xlfn.XMATCH(MID(CELL("filename",$A$1),FIND("]",CELL("filename",$A$1))+1,31)&amp;$F$1,採点基準_観点別!$F$3:$F$1000)),"C","採点基準が不正です"))))</f>
        <v/>
      </c>
      <c r="W22" s="31"/>
      <c r="X22" s="31" t="str">
        <f t="shared" si="4"/>
        <v>未入力</v>
      </c>
      <c r="Y22" s="31" t="str">
        <f t="shared" si="5"/>
        <v/>
      </c>
      <c r="Z22" s="31" t="str" cm="1">
        <f t="array" aca="1" ref="Z22" ca="1">IF(Y22 = "","",IF(Y22&gt;=INDEX(採点基準_観点別!$C$3:$C$1000,_xlfn.XMATCH(MID(CELL("filename",$A$1),FIND("]",CELL("filename",$A$1))+1,31)&amp;$F$1,採点基準_観点別!$F$3:$F$1000)),"A",IF(Y22&gt;=INDEX(採点基準_観点別!$D$3:$D$1000,_xlfn.XMATCH(MID(CELL("filename",$A$1),FIND("]",CELL("filename",$A$1))+1,31)&amp;$F$1,採点基準_観点別!$F$3:$F$1000)),"B",IF(Y22&lt;=INDEX(採点基準_観点別!$E$3:$E$1000,_xlfn.XMATCH(MID(CELL("filename",$A$1),FIND("]",CELL("filename",$A$1))+1,31)&amp;$F$1,採点基準_観点別!$F$3:$F$1000)),"C","採点基準が不正です"))))</f>
        <v/>
      </c>
    </row>
    <row r="23" spans="1:26" x14ac:dyDescent="0.4">
      <c r="A23" s="42">
        <v>14</v>
      </c>
      <c r="B23" s="42" t="s">
        <v>2</v>
      </c>
      <c r="C23" s="42"/>
      <c r="D23" s="42"/>
      <c r="E23" s="42"/>
      <c r="F23" s="42"/>
      <c r="G23" s="42"/>
      <c r="H23" s="42"/>
      <c r="I23" s="42"/>
      <c r="J23" s="42"/>
      <c r="K23" s="42" t="str">
        <f t="shared" si="0"/>
        <v>未入力</v>
      </c>
      <c r="L23" s="42" t="str">
        <f t="shared" si="1"/>
        <v/>
      </c>
      <c r="M23" s="42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2"/>
      <c r="O23" s="42"/>
      <c r="P23" s="42"/>
      <c r="Q23" s="42"/>
      <c r="R23" s="42"/>
      <c r="S23" s="42"/>
      <c r="T23" s="42" t="str">
        <f t="shared" si="2"/>
        <v>未入力</v>
      </c>
      <c r="U23" s="42" t="str">
        <f t="shared" si="3"/>
        <v/>
      </c>
      <c r="V23" s="42" t="str" cm="1">
        <f t="array" aca="1" ref="V23" ca="1">IF(U23 = "","",IF(U23&gt;=INDEX(採点基準_観点別!$C$3:$C$1000,_xlfn.XMATCH(MID(CELL("filename",$A$1),FIND("]",CELL("filename",$A$1))+1,31)&amp;$F$1,採点基準_観点別!$F$3:$F$1000)),"A",IF(U23&gt;=INDEX(採点基準_観点別!$D$3:$D$1000,_xlfn.XMATCH(MID(CELL("filename",$A$1),FIND("]",CELL("filename",$A$1))+1,31)&amp;$F$1,採点基準_観点別!$F$3:$F$1000)),"B",IF(U23&lt;=INDEX(採点基準_観点別!$E$3:$E$1000,_xlfn.XMATCH(MID(CELL("filename",$A$1),FIND("]",CELL("filename",$A$1))+1,31)&amp;$F$1,採点基準_観点別!$F$3:$F$1000)),"C","採点基準が不正です"))))</f>
        <v/>
      </c>
      <c r="W23" s="42"/>
      <c r="X23" s="42" t="str">
        <f t="shared" si="4"/>
        <v>未入力</v>
      </c>
      <c r="Y23" s="42" t="str">
        <f t="shared" si="5"/>
        <v/>
      </c>
      <c r="Z23" s="42" t="str" cm="1">
        <f t="array" aca="1" ref="Z23" ca="1">IF(Y23 = "","",IF(Y23&gt;=INDEX(採点基準_観点別!$C$3:$C$1000,_xlfn.XMATCH(MID(CELL("filename",$A$1),FIND("]",CELL("filename",$A$1))+1,31)&amp;$F$1,採点基準_観点別!$F$3:$F$1000)),"A",IF(Y23&gt;=INDEX(採点基準_観点別!$D$3:$D$1000,_xlfn.XMATCH(MID(CELL("filename",$A$1),FIND("]",CELL("filename",$A$1))+1,31)&amp;$F$1,採点基準_観点別!$F$3:$F$1000)),"B",IF(Y23&lt;=INDEX(採点基準_観点別!$E$3:$E$1000,_xlfn.XMATCH(MID(CELL("filename",$A$1),FIND("]",CELL("filename",$A$1))+1,31)&amp;$F$1,採点基準_観点別!$F$3:$F$1000)),"C","採点基準が不正です"))))</f>
        <v/>
      </c>
    </row>
    <row r="24" spans="1:26" x14ac:dyDescent="0.4">
      <c r="A24" s="62">
        <v>14</v>
      </c>
      <c r="B24" s="62" t="s">
        <v>2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/>
      <c r="T24" s="31" t="str">
        <f t="shared" si="2"/>
        <v>未入力</v>
      </c>
      <c r="U24" s="31" t="str">
        <f t="shared" si="3"/>
        <v/>
      </c>
      <c r="V24" s="31" t="str" cm="1">
        <f t="array" aca="1" ref="V24" ca="1">IF(U24 = "","",IF(U24&gt;=INDEX(採点基準_観点別!$C$3:$C$1000,_xlfn.XMATCH(MID(CELL("filename",$A$1),FIND("]",CELL("filename",$A$1))+1,31)&amp;$F$1,採点基準_観点別!$F$3:$F$1000)),"A",IF(U24&gt;=INDEX(採点基準_観点別!$D$3:$D$1000,_xlfn.XMATCH(MID(CELL("filename",$A$1),FIND("]",CELL("filename",$A$1))+1,31)&amp;$F$1,採点基準_観点別!$F$3:$F$1000)),"B",IF(U24&lt;=INDEX(採点基準_観点別!$E$3:$E$1000,_xlfn.XMATCH(MID(CELL("filename",$A$1),FIND("]",CELL("filename",$A$1))+1,31)&amp;$F$1,採点基準_観点別!$F$3:$F$1000)),"C","採点基準が不正です"))))</f>
        <v/>
      </c>
      <c r="W24" s="31"/>
      <c r="X24" s="31" t="str">
        <f t="shared" si="4"/>
        <v>未入力</v>
      </c>
      <c r="Y24" s="31" t="str">
        <f t="shared" si="5"/>
        <v/>
      </c>
      <c r="Z24" s="31" t="str" cm="1">
        <f t="array" aca="1" ref="Z24" ca="1">IF(Y24 = "","",IF(Y24&gt;=INDEX(採点基準_観点別!$C$3:$C$1000,_xlfn.XMATCH(MID(CELL("filename",$A$1),FIND("]",CELL("filename",$A$1))+1,31)&amp;$F$1,採点基準_観点別!$F$3:$F$1000)),"A",IF(Y24&gt;=INDEX(採点基準_観点別!$D$3:$D$1000,_xlfn.XMATCH(MID(CELL("filename",$A$1),FIND("]",CELL("filename",$A$1))+1,31)&amp;$F$1,採点基準_観点別!$F$3:$F$1000)),"B",IF(Y24&lt;=INDEX(採点基準_観点別!$E$3:$E$1000,_xlfn.XMATCH(MID(CELL("filename",$A$1),FIND("]",CELL("filename",$A$1))+1,31)&amp;$F$1,採点基準_観点別!$F$3:$F$1000)),"C","採点基準が不正です"))))</f>
        <v/>
      </c>
    </row>
    <row r="25" spans="1:26" x14ac:dyDescent="0.4">
      <c r="A25" s="42">
        <v>14</v>
      </c>
      <c r="B25" s="42" t="s">
        <v>2</v>
      </c>
      <c r="C25" s="42"/>
      <c r="D25" s="42"/>
      <c r="E25" s="42"/>
      <c r="F25" s="42"/>
      <c r="G25" s="42"/>
      <c r="H25" s="42"/>
      <c r="I25" s="42"/>
      <c r="J25" s="42"/>
      <c r="K25" s="42" t="str">
        <f t="shared" si="0"/>
        <v>未入力</v>
      </c>
      <c r="L25" s="42" t="str">
        <f t="shared" si="1"/>
        <v/>
      </c>
      <c r="M25" s="42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2"/>
      <c r="O25" s="42"/>
      <c r="P25" s="42"/>
      <c r="Q25" s="42"/>
      <c r="R25" s="42"/>
      <c r="S25" s="42"/>
      <c r="T25" s="42" t="str">
        <f t="shared" si="2"/>
        <v>未入力</v>
      </c>
      <c r="U25" s="42" t="str">
        <f t="shared" si="3"/>
        <v/>
      </c>
      <c r="V25" s="42" t="str" cm="1">
        <f t="array" aca="1" ref="V25" ca="1">IF(U25 = "","",IF(U25&gt;=INDEX(採点基準_観点別!$C$3:$C$1000,_xlfn.XMATCH(MID(CELL("filename",$A$1),FIND("]",CELL("filename",$A$1))+1,31)&amp;$F$1,採点基準_観点別!$F$3:$F$1000)),"A",IF(U25&gt;=INDEX(採点基準_観点別!$D$3:$D$1000,_xlfn.XMATCH(MID(CELL("filename",$A$1),FIND("]",CELL("filename",$A$1))+1,31)&amp;$F$1,採点基準_観点別!$F$3:$F$1000)),"B",IF(U25&lt;=INDEX(採点基準_観点別!$E$3:$E$1000,_xlfn.XMATCH(MID(CELL("filename",$A$1),FIND("]",CELL("filename",$A$1))+1,31)&amp;$F$1,採点基準_観点別!$F$3:$F$1000)),"C","採点基準が不正です"))))</f>
        <v/>
      </c>
      <c r="W25" s="42"/>
      <c r="X25" s="42" t="str">
        <f t="shared" si="4"/>
        <v>未入力</v>
      </c>
      <c r="Y25" s="42" t="str">
        <f t="shared" si="5"/>
        <v/>
      </c>
      <c r="Z25" s="42" t="str" cm="1">
        <f t="array" aca="1" ref="Z25" ca="1">IF(Y25 = "","",IF(Y25&gt;=INDEX(採点基準_観点別!$C$3:$C$1000,_xlfn.XMATCH(MID(CELL("filename",$A$1),FIND("]",CELL("filename",$A$1))+1,31)&amp;$F$1,採点基準_観点別!$F$3:$F$1000)),"A",IF(Y25&gt;=INDEX(採点基準_観点別!$D$3:$D$1000,_xlfn.XMATCH(MID(CELL("filename",$A$1),FIND("]",CELL("filename",$A$1))+1,31)&amp;$F$1,採点基準_観点別!$F$3:$F$1000)),"B",IF(Y25&lt;=INDEX(採点基準_観点別!$E$3:$E$1000,_xlfn.XMATCH(MID(CELL("filename",$A$1),FIND("]",CELL("filename",$A$1))+1,31)&amp;$F$1,採点基準_観点別!$F$3:$F$1000)),"C","採点基準が不正です"))))</f>
        <v/>
      </c>
    </row>
    <row r="26" spans="1:26" x14ac:dyDescent="0.4">
      <c r="A26" s="62">
        <v>14</v>
      </c>
      <c r="B26" s="62" t="s">
        <v>2</v>
      </c>
      <c r="C26" s="31"/>
      <c r="D26" s="31"/>
      <c r="E26" s="31"/>
      <c r="F26" s="31"/>
      <c r="G26" s="31"/>
      <c r="H26" s="31"/>
      <c r="I26" s="31"/>
      <c r="J26" s="31"/>
      <c r="K26" s="31" t="str">
        <f t="shared" si="0"/>
        <v>未入力</v>
      </c>
      <c r="L26" s="31" t="str">
        <f t="shared" si="1"/>
        <v/>
      </c>
      <c r="M26" s="31" t="str" cm="1">
        <f t="array" aca="1" ref="M26" ca="1">IF(L26 = "","",IF(L26&gt;=INDEX(採点基準_観点別!$C$3:$C$1000,_xlfn.XMATCH(MID(CELL("filename",$A$1),FIND("]",CELL("filename",$A$1))+1,31)&amp;$F$1,採点基準_観点別!$F$3:$F$1000)),"A",IF(L26&gt;=INDEX(採点基準_観点別!$D$3:$D$1000,_xlfn.XMATCH(MID(CELL("filename",$A$1),FIND("]",CELL("filename",$A$1))+1,31)&amp;$F$1,採点基準_観点別!$F$3:$F$1000)),"B",IF(L26&lt;=INDEX(採点基準_観点別!$E$3:$E$1000,_xlfn.XMATCH(MID(CELL("filename",$A$1),FIND("]",CELL("filename",$A$1))+1,31)&amp;$F$1,採点基準_観点別!$F$3:$F$1000)),"C","採点基準が不正です"))))</f>
        <v/>
      </c>
      <c r="N26" s="31"/>
      <c r="O26" s="31"/>
      <c r="P26" s="31"/>
      <c r="Q26" s="31"/>
      <c r="R26" s="31"/>
      <c r="S26" s="31"/>
      <c r="T26" s="31" t="str">
        <f t="shared" si="2"/>
        <v>未入力</v>
      </c>
      <c r="U26" s="31" t="str">
        <f t="shared" si="3"/>
        <v/>
      </c>
      <c r="V26" s="31" t="str" cm="1">
        <f t="array" aca="1" ref="V26" ca="1">IF(U26 = "","",IF(U26&gt;=INDEX(採点基準_観点別!$C$3:$C$1000,_xlfn.XMATCH(MID(CELL("filename",$A$1),FIND("]",CELL("filename",$A$1))+1,31)&amp;$F$1,採点基準_観点別!$F$3:$F$1000)),"A",IF(U26&gt;=INDEX(採点基準_観点別!$D$3:$D$1000,_xlfn.XMATCH(MID(CELL("filename",$A$1),FIND("]",CELL("filename",$A$1))+1,31)&amp;$F$1,採点基準_観点別!$F$3:$F$1000)),"B",IF(U26&lt;=INDEX(採点基準_観点別!$E$3:$E$1000,_xlfn.XMATCH(MID(CELL("filename",$A$1),FIND("]",CELL("filename",$A$1))+1,31)&amp;$F$1,採点基準_観点別!$F$3:$F$1000)),"C","採点基準が不正です"))))</f>
        <v/>
      </c>
      <c r="W26" s="31"/>
      <c r="X26" s="31" t="str">
        <f t="shared" si="4"/>
        <v>未入力</v>
      </c>
      <c r="Y26" s="31" t="str">
        <f t="shared" si="5"/>
        <v/>
      </c>
      <c r="Z26" s="31" t="str" cm="1">
        <f t="array" aca="1" ref="Z26" ca="1">IF(Y26 = "","",IF(Y26&gt;=INDEX(採点基準_観点別!$C$3:$C$1000,_xlfn.XMATCH(MID(CELL("filename",$A$1),FIND("]",CELL("filename",$A$1))+1,31)&amp;$F$1,採点基準_観点別!$F$3:$F$1000)),"A",IF(Y26&gt;=INDEX(採点基準_観点別!$D$3:$D$1000,_xlfn.XMATCH(MID(CELL("filename",$A$1),FIND("]",CELL("filename",$A$1))+1,31)&amp;$F$1,採点基準_観点別!$F$3:$F$1000)),"B",IF(Y26&lt;=INDEX(採点基準_観点別!$E$3:$E$1000,_xlfn.XMATCH(MID(CELL("filename",$A$1),FIND("]",CELL("filename",$A$1))+1,31)&amp;$F$1,採点基準_観点別!$F$3:$F$1000)),"C","採点基準が不正です"))))</f>
        <v/>
      </c>
    </row>
    <row r="27" spans="1:26" x14ac:dyDescent="0.4">
      <c r="A27" s="42">
        <v>14</v>
      </c>
      <c r="B27" s="42" t="s">
        <v>2</v>
      </c>
      <c r="C27" s="42"/>
      <c r="D27" s="42"/>
      <c r="E27" s="42"/>
      <c r="F27" s="42"/>
      <c r="G27" s="42"/>
      <c r="H27" s="42"/>
      <c r="I27" s="42"/>
      <c r="J27" s="42"/>
      <c r="K27" s="42" t="str">
        <f t="shared" si="0"/>
        <v>未入力</v>
      </c>
      <c r="L27" s="42" t="str">
        <f t="shared" si="1"/>
        <v/>
      </c>
      <c r="M27" s="42" t="str" cm="1">
        <f t="array" aca="1" ref="M27" ca="1">IF(L27 = "","",IF(L27&gt;=INDEX(採点基準_観点別!$C$3:$C$1000,_xlfn.XMATCH(MID(CELL("filename",$A$1),FIND("]",CELL("filename",$A$1))+1,31)&amp;$F$1,採点基準_観点別!$F$3:$F$1000)),"A",IF(L27&gt;=INDEX(採点基準_観点別!$D$3:$D$1000,_xlfn.XMATCH(MID(CELL("filename",$A$1),FIND("]",CELL("filename",$A$1))+1,31)&amp;$F$1,採点基準_観点別!$F$3:$F$1000)),"B",IF(L27&lt;=INDEX(採点基準_観点別!$E$3:$E$1000,_xlfn.XMATCH(MID(CELL("filename",$A$1),FIND("]",CELL("filename",$A$1))+1,31)&amp;$F$1,採点基準_観点別!$F$3:$F$1000)),"C","採点基準が不正です"))))</f>
        <v/>
      </c>
      <c r="N27" s="42"/>
      <c r="O27" s="42"/>
      <c r="P27" s="42"/>
      <c r="Q27" s="42"/>
      <c r="R27" s="42"/>
      <c r="S27" s="42"/>
      <c r="T27" s="42" t="str">
        <f t="shared" si="2"/>
        <v>未入力</v>
      </c>
      <c r="U27" s="42" t="str">
        <f t="shared" si="3"/>
        <v/>
      </c>
      <c r="V27" s="42" t="str" cm="1">
        <f t="array" aca="1" ref="V27" ca="1">IF(U27 = "","",IF(U27&gt;=INDEX(採点基準_観点別!$C$3:$C$1000,_xlfn.XMATCH(MID(CELL("filename",$A$1),FIND("]",CELL("filename",$A$1))+1,31)&amp;$F$1,採点基準_観点別!$F$3:$F$1000)),"A",IF(U27&gt;=INDEX(採点基準_観点別!$D$3:$D$1000,_xlfn.XMATCH(MID(CELL("filename",$A$1),FIND("]",CELL("filename",$A$1))+1,31)&amp;$F$1,採点基準_観点別!$F$3:$F$1000)),"B",IF(U27&lt;=INDEX(採点基準_観点別!$E$3:$E$1000,_xlfn.XMATCH(MID(CELL("filename",$A$1),FIND("]",CELL("filename",$A$1))+1,31)&amp;$F$1,採点基準_観点別!$F$3:$F$1000)),"C","採点基準が不正です"))))</f>
        <v/>
      </c>
      <c r="W27" s="42"/>
      <c r="X27" s="42" t="str">
        <f t="shared" si="4"/>
        <v>未入力</v>
      </c>
      <c r="Y27" s="42" t="str">
        <f t="shared" si="5"/>
        <v/>
      </c>
      <c r="Z27" s="42" t="str" cm="1">
        <f t="array" aca="1" ref="Z27" ca="1">IF(Y27 = "","",IF(Y27&gt;=INDEX(採点基準_観点別!$C$3:$C$1000,_xlfn.XMATCH(MID(CELL("filename",$A$1),FIND("]",CELL("filename",$A$1))+1,31)&amp;$F$1,採点基準_観点別!$F$3:$F$1000)),"A",IF(Y27&gt;=INDEX(採点基準_観点別!$D$3:$D$1000,_xlfn.XMATCH(MID(CELL("filename",$A$1),FIND("]",CELL("filename",$A$1))+1,31)&amp;$F$1,採点基準_観点別!$F$3:$F$1000)),"B",IF(Y27&lt;=INDEX(採点基準_観点別!$E$3:$E$1000,_xlfn.XMATCH(MID(CELL("filename",$A$1),FIND("]",CELL("filename",$A$1))+1,31)&amp;$F$1,採点基準_観点別!$F$3:$F$1000)),"C","採点基準が不正です"))))</f>
        <v/>
      </c>
    </row>
    <row r="28" spans="1:26" x14ac:dyDescent="0.4">
      <c r="A28" s="62">
        <v>14</v>
      </c>
      <c r="B28" s="62" t="s">
        <v>2</v>
      </c>
      <c r="C28" s="31"/>
      <c r="D28" s="31"/>
      <c r="E28" s="31"/>
      <c r="F28" s="31"/>
      <c r="G28" s="31"/>
      <c r="H28" s="31"/>
      <c r="I28" s="31"/>
      <c r="J28" s="31"/>
      <c r="K28" s="31" t="str">
        <f t="shared" si="0"/>
        <v>未入力</v>
      </c>
      <c r="L28" s="31" t="str">
        <f t="shared" si="1"/>
        <v/>
      </c>
      <c r="M28" s="31" t="str" cm="1">
        <f t="array" aca="1" ref="M28" ca="1">IF(L28 = "","",IF(L28&gt;=INDEX(採点基準_観点別!$C$3:$C$1000,_xlfn.XMATCH(MID(CELL("filename",$A$1),FIND("]",CELL("filename",$A$1))+1,31)&amp;$F$1,採点基準_観点別!$F$3:$F$1000)),"A",IF(L28&gt;=INDEX(採点基準_観点別!$D$3:$D$1000,_xlfn.XMATCH(MID(CELL("filename",$A$1),FIND("]",CELL("filename",$A$1))+1,31)&amp;$F$1,採点基準_観点別!$F$3:$F$1000)),"B",IF(L28&lt;=INDEX(採点基準_観点別!$E$3:$E$1000,_xlfn.XMATCH(MID(CELL("filename",$A$1),FIND("]",CELL("filename",$A$1))+1,31)&amp;$F$1,採点基準_観点別!$F$3:$F$1000)),"C","採点基準が不正です"))))</f>
        <v/>
      </c>
      <c r="N28" s="31"/>
      <c r="O28" s="31"/>
      <c r="P28" s="31"/>
      <c r="Q28" s="31"/>
      <c r="R28" s="31"/>
      <c r="S28" s="31"/>
      <c r="T28" s="31" t="str">
        <f t="shared" si="2"/>
        <v>未入力</v>
      </c>
      <c r="U28" s="31" t="str">
        <f t="shared" si="3"/>
        <v/>
      </c>
      <c r="V28" s="31" t="str" cm="1">
        <f t="array" aca="1" ref="V28" ca="1">IF(U28 = "","",IF(U28&gt;=INDEX(採点基準_観点別!$C$3:$C$1000,_xlfn.XMATCH(MID(CELL("filename",$A$1),FIND("]",CELL("filename",$A$1))+1,31)&amp;$F$1,採点基準_観点別!$F$3:$F$1000)),"A",IF(U28&gt;=INDEX(採点基準_観点別!$D$3:$D$1000,_xlfn.XMATCH(MID(CELL("filename",$A$1),FIND("]",CELL("filename",$A$1))+1,31)&amp;$F$1,採点基準_観点別!$F$3:$F$1000)),"B",IF(U28&lt;=INDEX(採点基準_観点別!$E$3:$E$1000,_xlfn.XMATCH(MID(CELL("filename",$A$1),FIND("]",CELL("filename",$A$1))+1,31)&amp;$F$1,採点基準_観点別!$F$3:$F$1000)),"C","採点基準が不正です"))))</f>
        <v/>
      </c>
      <c r="W28" s="31"/>
      <c r="X28" s="31" t="str">
        <f t="shared" si="4"/>
        <v>未入力</v>
      </c>
      <c r="Y28" s="31" t="str">
        <f t="shared" si="5"/>
        <v/>
      </c>
      <c r="Z28" s="31" t="str" cm="1">
        <f t="array" aca="1" ref="Z28" ca="1">IF(Y28 = "","",IF(Y28&gt;=INDEX(採点基準_観点別!$C$3:$C$1000,_xlfn.XMATCH(MID(CELL("filename",$A$1),FIND("]",CELL("filename",$A$1))+1,31)&amp;$F$1,採点基準_観点別!$F$3:$F$1000)),"A",IF(Y28&gt;=INDEX(採点基準_観点別!$D$3:$D$1000,_xlfn.XMATCH(MID(CELL("filename",$A$1),FIND("]",CELL("filename",$A$1))+1,31)&amp;$F$1,採点基準_観点別!$F$3:$F$1000)),"B",IF(Y28&lt;=INDEX(採点基準_観点別!$E$3:$E$1000,_xlfn.XMATCH(MID(CELL("filename",$A$1),FIND("]",CELL("filename",$A$1))+1,31)&amp;$F$1,採点基準_観点別!$F$3:$F$1000)),"C","採点基準が不正です"))))</f>
        <v/>
      </c>
    </row>
    <row r="29" spans="1:26" x14ac:dyDescent="0.4">
      <c r="A29" s="42">
        <v>14</v>
      </c>
      <c r="B29" s="42" t="s">
        <v>2</v>
      </c>
      <c r="C29" s="42"/>
      <c r="D29" s="42"/>
      <c r="E29" s="42"/>
      <c r="F29" s="42"/>
      <c r="G29" s="42"/>
      <c r="H29" s="42"/>
      <c r="I29" s="42"/>
      <c r="J29" s="42"/>
      <c r="K29" s="42" t="str">
        <f t="shared" si="0"/>
        <v>未入力</v>
      </c>
      <c r="L29" s="42" t="str">
        <f t="shared" si="1"/>
        <v/>
      </c>
      <c r="M29" s="42" t="str" cm="1">
        <f t="array" aca="1" ref="M29" ca="1">IF(L29 = "","",IF(L29&gt;=INDEX(採点基準_観点別!$C$3:$C$1000,_xlfn.XMATCH(MID(CELL("filename",$A$1),FIND("]",CELL("filename",$A$1))+1,31)&amp;$F$1,採点基準_観点別!$F$3:$F$1000)),"A",IF(L29&gt;=INDEX(採点基準_観点別!$D$3:$D$1000,_xlfn.XMATCH(MID(CELL("filename",$A$1),FIND("]",CELL("filename",$A$1))+1,31)&amp;$F$1,採点基準_観点別!$F$3:$F$1000)),"B",IF(L29&lt;=INDEX(採点基準_観点別!$E$3:$E$1000,_xlfn.XMATCH(MID(CELL("filename",$A$1),FIND("]",CELL("filename",$A$1))+1,31)&amp;$F$1,採点基準_観点別!$F$3:$F$1000)),"C","採点基準が不正です"))))</f>
        <v/>
      </c>
      <c r="N29" s="42"/>
      <c r="O29" s="42"/>
      <c r="P29" s="42"/>
      <c r="Q29" s="42"/>
      <c r="R29" s="42"/>
      <c r="S29" s="42"/>
      <c r="T29" s="42" t="str">
        <f t="shared" si="2"/>
        <v>未入力</v>
      </c>
      <c r="U29" s="42" t="str">
        <f t="shared" si="3"/>
        <v/>
      </c>
      <c r="V29" s="42" t="str" cm="1">
        <f t="array" aca="1" ref="V29" ca="1">IF(U29 = "","",IF(U29&gt;=INDEX(採点基準_観点別!$C$3:$C$1000,_xlfn.XMATCH(MID(CELL("filename",$A$1),FIND("]",CELL("filename",$A$1))+1,31)&amp;$F$1,採点基準_観点別!$F$3:$F$1000)),"A",IF(U29&gt;=INDEX(採点基準_観点別!$D$3:$D$1000,_xlfn.XMATCH(MID(CELL("filename",$A$1),FIND("]",CELL("filename",$A$1))+1,31)&amp;$F$1,採点基準_観点別!$F$3:$F$1000)),"B",IF(U29&lt;=INDEX(採点基準_観点別!$E$3:$E$1000,_xlfn.XMATCH(MID(CELL("filename",$A$1),FIND("]",CELL("filename",$A$1))+1,31)&amp;$F$1,採点基準_観点別!$F$3:$F$1000)),"C","採点基準が不正です"))))</f>
        <v/>
      </c>
      <c r="W29" s="42"/>
      <c r="X29" s="42" t="str">
        <f t="shared" si="4"/>
        <v>未入力</v>
      </c>
      <c r="Y29" s="42" t="str">
        <f t="shared" si="5"/>
        <v/>
      </c>
      <c r="Z29" s="42" t="str" cm="1">
        <f t="array" aca="1" ref="Z29" ca="1">IF(Y29 = "","",IF(Y29&gt;=INDEX(採点基準_観点別!$C$3:$C$1000,_xlfn.XMATCH(MID(CELL("filename",$A$1),FIND("]",CELL("filename",$A$1))+1,31)&amp;$F$1,採点基準_観点別!$F$3:$F$1000)),"A",IF(Y29&gt;=INDEX(採点基準_観点別!$D$3:$D$1000,_xlfn.XMATCH(MID(CELL("filename",$A$1),FIND("]",CELL("filename",$A$1))+1,31)&amp;$F$1,採点基準_観点別!$F$3:$F$1000)),"B",IF(Y29&lt;=INDEX(採点基準_観点別!$E$3:$E$1000,_xlfn.XMATCH(MID(CELL("filename",$A$1),FIND("]",CELL("filename",$A$1))+1,31)&amp;$F$1,採点基準_観点別!$F$3:$F$1000)),"C","採点基準が不正です"))))</f>
        <v/>
      </c>
    </row>
    <row r="30" spans="1:26" x14ac:dyDescent="0.4">
      <c r="A30" s="41"/>
      <c r="B30" s="62" t="s">
        <v>2</v>
      </c>
      <c r="C30" s="31"/>
      <c r="D30" s="31"/>
      <c r="E30" s="31"/>
      <c r="F30" s="31"/>
      <c r="G30" s="31"/>
      <c r="H30" s="31"/>
      <c r="I30" s="31"/>
      <c r="J30" s="31"/>
      <c r="K30" s="31" t="str">
        <f t="shared" si="0"/>
        <v>未入力</v>
      </c>
      <c r="L30" s="31" t="str">
        <f t="shared" si="1"/>
        <v/>
      </c>
      <c r="M30" s="31" t="str" cm="1">
        <f t="array" aca="1" ref="M30" ca="1">IF(L30 = "","",IF(L30&gt;=INDEX(採点基準_観点別!$C$3:$C$1000,_xlfn.XMATCH(MID(CELL("filename",$A$1),FIND("]",CELL("filename",$A$1))+1,31)&amp;$F$1,採点基準_観点別!$F$3:$F$1000)),"A",IF(L30&gt;=INDEX(採点基準_観点別!$D$3:$D$1000,_xlfn.XMATCH(MID(CELL("filename",$A$1),FIND("]",CELL("filename",$A$1))+1,31)&amp;$F$1,採点基準_観点別!$F$3:$F$1000)),"B",IF(L30&lt;=INDEX(採点基準_観点別!$E$3:$E$1000,_xlfn.XMATCH(MID(CELL("filename",$A$1),FIND("]",CELL("filename",$A$1))+1,31)&amp;$F$1,採点基準_観点別!$F$3:$F$1000)),"C","採点基準が不正です"))))</f>
        <v/>
      </c>
      <c r="N30" s="31"/>
      <c r="O30" s="31"/>
      <c r="P30" s="31"/>
      <c r="Q30" s="31"/>
      <c r="R30" s="31"/>
      <c r="S30" s="31"/>
      <c r="T30" s="31" t="str">
        <f t="shared" si="2"/>
        <v>未入力</v>
      </c>
      <c r="U30" s="31" t="str">
        <f t="shared" si="3"/>
        <v/>
      </c>
      <c r="V30" s="31" t="str" cm="1">
        <f t="array" aca="1" ref="V30" ca="1">IF(U30 = "","",IF(U30&gt;=INDEX(採点基準_観点別!$C$3:$C$1000,_xlfn.XMATCH(MID(CELL("filename",$A$1),FIND("]",CELL("filename",$A$1))+1,31)&amp;$F$1,採点基準_観点別!$F$3:$F$1000)),"A",IF(U30&gt;=INDEX(採点基準_観点別!$D$3:$D$1000,_xlfn.XMATCH(MID(CELL("filename",$A$1),FIND("]",CELL("filename",$A$1))+1,31)&amp;$F$1,採点基準_観点別!$F$3:$F$1000)),"B",IF(U30&lt;=INDEX(採点基準_観点別!$E$3:$E$1000,_xlfn.XMATCH(MID(CELL("filename",$A$1),FIND("]",CELL("filename",$A$1))+1,31)&amp;$F$1,採点基準_観点別!$F$3:$F$1000)),"C","採点基準が不正です"))))</f>
        <v/>
      </c>
      <c r="W30" s="31"/>
      <c r="X30" s="31" t="str">
        <f t="shared" si="4"/>
        <v>未入力</v>
      </c>
      <c r="Y30" s="31" t="str">
        <f t="shared" si="5"/>
        <v/>
      </c>
      <c r="Z30" s="31" t="str" cm="1">
        <f t="array" aca="1" ref="Z30" ca="1">IF(Y30 = "","",IF(Y30&gt;=INDEX(採点基準_観点別!$C$3:$C$1000,_xlfn.XMATCH(MID(CELL("filename",$A$1),FIND("]",CELL("filename",$A$1))+1,31)&amp;$F$1,採点基準_観点別!$F$3:$F$1000)),"A",IF(Y30&gt;=INDEX(採点基準_観点別!$D$3:$D$1000,_xlfn.XMATCH(MID(CELL("filename",$A$1),FIND("]",CELL("filename",$A$1))+1,31)&amp;$F$1,採点基準_観点別!$F$3:$F$1000)),"B",IF(Y30&lt;=INDEX(採点基準_観点別!$E$3:$E$1000,_xlfn.XMATCH(MID(CELL("filename",$A$1),FIND("]",CELL("filename",$A$1))+1,31)&amp;$F$1,採点基準_観点別!$F$3:$F$1000)),"C","採点基準が不正です"))))</f>
        <v/>
      </c>
    </row>
    <row r="31" spans="1:26" x14ac:dyDescent="0.4">
      <c r="A31" s="42">
        <v>14</v>
      </c>
      <c r="B31" s="42" t="s">
        <v>2</v>
      </c>
      <c r="C31" s="42"/>
      <c r="D31" s="42"/>
      <c r="E31" s="42"/>
      <c r="F31" s="42"/>
      <c r="G31" s="42"/>
      <c r="H31" s="42"/>
      <c r="I31" s="42"/>
      <c r="J31" s="42"/>
      <c r="K31" s="42" t="str">
        <f t="shared" si="0"/>
        <v>未入力</v>
      </c>
      <c r="L31" s="42" t="str">
        <f t="shared" si="1"/>
        <v/>
      </c>
      <c r="M31" s="42" t="str" cm="1">
        <f t="array" aca="1" ref="M31" ca="1">IF(L31 = "","",IF(L31&gt;=INDEX(採点基準_観点別!$C$3:$C$1000,_xlfn.XMATCH(MID(CELL("filename",$A$1),FIND("]",CELL("filename",$A$1))+1,31)&amp;$F$1,採点基準_観点別!$F$3:$F$1000)),"A",IF(L31&gt;=INDEX(採点基準_観点別!$D$3:$D$1000,_xlfn.XMATCH(MID(CELL("filename",$A$1),FIND("]",CELL("filename",$A$1))+1,31)&amp;$F$1,採点基準_観点別!$F$3:$F$1000)),"B",IF(L31&lt;=INDEX(採点基準_観点別!$E$3:$E$1000,_xlfn.XMATCH(MID(CELL("filename",$A$1),FIND("]",CELL("filename",$A$1))+1,31)&amp;$F$1,採点基準_観点別!$F$3:$F$1000)),"C","採点基準が不正です"))))</f>
        <v/>
      </c>
      <c r="N31" s="42"/>
      <c r="O31" s="42"/>
      <c r="P31" s="42"/>
      <c r="Q31" s="42"/>
      <c r="R31" s="42"/>
      <c r="S31" s="42"/>
      <c r="T31" s="42" t="str">
        <f t="shared" si="2"/>
        <v>未入力</v>
      </c>
      <c r="U31" s="42" t="str">
        <f t="shared" si="3"/>
        <v/>
      </c>
      <c r="V31" s="42" t="str" cm="1">
        <f t="array" aca="1" ref="V31" ca="1">IF(U31 = "","",IF(U31&gt;=INDEX(採点基準_観点別!$C$3:$C$1000,_xlfn.XMATCH(MID(CELL("filename",$A$1),FIND("]",CELL("filename",$A$1))+1,31)&amp;$F$1,採点基準_観点別!$F$3:$F$1000)),"A",IF(U31&gt;=INDEX(採点基準_観点別!$D$3:$D$1000,_xlfn.XMATCH(MID(CELL("filename",$A$1),FIND("]",CELL("filename",$A$1))+1,31)&amp;$F$1,採点基準_観点別!$F$3:$F$1000)),"B",IF(U31&lt;=INDEX(採点基準_観点別!$E$3:$E$1000,_xlfn.XMATCH(MID(CELL("filename",$A$1),FIND("]",CELL("filename",$A$1))+1,31)&amp;$F$1,採点基準_観点別!$F$3:$F$1000)),"C","採点基準が不正です"))))</f>
        <v/>
      </c>
      <c r="W31" s="42"/>
      <c r="X31" s="42" t="str">
        <f t="shared" si="4"/>
        <v>未入力</v>
      </c>
      <c r="Y31" s="42" t="str">
        <f t="shared" si="5"/>
        <v/>
      </c>
      <c r="Z31" s="42" t="str" cm="1">
        <f t="array" aca="1" ref="Z31" ca="1">IF(Y31 = "","",IF(Y31&gt;=INDEX(採点基準_観点別!$C$3:$C$1000,_xlfn.XMATCH(MID(CELL("filename",$A$1),FIND("]",CELL("filename",$A$1))+1,31)&amp;$F$1,採点基準_観点別!$F$3:$F$1000)),"A",IF(Y31&gt;=INDEX(採点基準_観点別!$D$3:$D$1000,_xlfn.XMATCH(MID(CELL("filename",$A$1),FIND("]",CELL("filename",$A$1))+1,31)&amp;$F$1,採点基準_観点別!$F$3:$F$1000)),"B",IF(Y31&lt;=INDEX(採点基準_観点別!$E$3:$E$1000,_xlfn.XMATCH(MID(CELL("filename",$A$1),FIND("]",CELL("filename",$A$1))+1,31)&amp;$F$1,採点基準_観点別!$F$3:$F$1000)),"C","採点基準が不正です"))))</f>
        <v/>
      </c>
    </row>
    <row r="32" spans="1:26" x14ac:dyDescent="0.4">
      <c r="A32" s="62">
        <v>14</v>
      </c>
      <c r="B32" s="62" t="s">
        <v>2</v>
      </c>
      <c r="C32" s="31"/>
      <c r="D32" s="31"/>
      <c r="E32" s="31"/>
      <c r="F32" s="31"/>
      <c r="G32" s="31"/>
      <c r="H32" s="31"/>
      <c r="I32" s="31"/>
      <c r="J32" s="31"/>
      <c r="K32" s="31" t="str">
        <f t="shared" si="0"/>
        <v>未入力</v>
      </c>
      <c r="L32" s="31" t="str">
        <f t="shared" si="1"/>
        <v/>
      </c>
      <c r="M32" s="31" t="str" cm="1">
        <f t="array" aca="1" ref="M32" ca="1">IF(L32 = "","",IF(L32&gt;=INDEX(採点基準_観点別!$C$3:$C$1000,_xlfn.XMATCH(MID(CELL("filename",$A$1),FIND("]",CELL("filename",$A$1))+1,31)&amp;$F$1,採点基準_観点別!$F$3:$F$1000)),"A",IF(L32&gt;=INDEX(採点基準_観点別!$D$3:$D$1000,_xlfn.XMATCH(MID(CELL("filename",$A$1),FIND("]",CELL("filename",$A$1))+1,31)&amp;$F$1,採点基準_観点別!$F$3:$F$1000)),"B",IF(L32&lt;=INDEX(採点基準_観点別!$E$3:$E$1000,_xlfn.XMATCH(MID(CELL("filename",$A$1),FIND("]",CELL("filename",$A$1))+1,31)&amp;$F$1,採点基準_観点別!$F$3:$F$1000)),"C","採点基準が不正です"))))</f>
        <v/>
      </c>
      <c r="N32" s="31"/>
      <c r="O32" s="31"/>
      <c r="P32" s="31"/>
      <c r="Q32" s="31"/>
      <c r="R32" s="31"/>
      <c r="S32" s="31"/>
      <c r="T32" s="31" t="str">
        <f t="shared" si="2"/>
        <v>未入力</v>
      </c>
      <c r="U32" s="31" t="str">
        <f t="shared" si="3"/>
        <v/>
      </c>
      <c r="V32" s="31" t="str" cm="1">
        <f t="array" aca="1" ref="V32" ca="1">IF(U32 = "","",IF(U32&gt;=INDEX(採点基準_観点別!$C$3:$C$1000,_xlfn.XMATCH(MID(CELL("filename",$A$1),FIND("]",CELL("filename",$A$1))+1,31)&amp;$F$1,採点基準_観点別!$F$3:$F$1000)),"A",IF(U32&gt;=INDEX(採点基準_観点別!$D$3:$D$1000,_xlfn.XMATCH(MID(CELL("filename",$A$1),FIND("]",CELL("filename",$A$1))+1,31)&amp;$F$1,採点基準_観点別!$F$3:$F$1000)),"B",IF(U32&lt;=INDEX(採点基準_観点別!$E$3:$E$1000,_xlfn.XMATCH(MID(CELL("filename",$A$1),FIND("]",CELL("filename",$A$1))+1,31)&amp;$F$1,採点基準_観点別!$F$3:$F$1000)),"C","採点基準が不正です"))))</f>
        <v/>
      </c>
      <c r="W32" s="31"/>
      <c r="X32" s="31" t="str">
        <f t="shared" si="4"/>
        <v>未入力</v>
      </c>
      <c r="Y32" s="31" t="str">
        <f t="shared" si="5"/>
        <v/>
      </c>
      <c r="Z32" s="31" t="str" cm="1">
        <f t="array" aca="1" ref="Z32" ca="1">IF(Y32 = "","",IF(Y32&gt;=INDEX(採点基準_観点別!$C$3:$C$1000,_xlfn.XMATCH(MID(CELL("filename",$A$1),FIND("]",CELL("filename",$A$1))+1,31)&amp;$F$1,採点基準_観点別!$F$3:$F$1000)),"A",IF(Y32&gt;=INDEX(採点基準_観点別!$D$3:$D$1000,_xlfn.XMATCH(MID(CELL("filename",$A$1),FIND("]",CELL("filename",$A$1))+1,31)&amp;$F$1,採点基準_観点別!$F$3:$F$1000)),"B",IF(Y32&lt;=INDEX(採点基準_観点別!$E$3:$E$1000,_xlfn.XMATCH(MID(CELL("filename",$A$1),FIND("]",CELL("filename",$A$1))+1,31)&amp;$F$1,採点基準_観点別!$F$3:$F$1000)),"C","採点基準が不正です"))))</f>
        <v/>
      </c>
    </row>
    <row r="33" spans="1:26" x14ac:dyDescent="0.4">
      <c r="A33" s="42">
        <v>14</v>
      </c>
      <c r="B33" s="42" t="s">
        <v>2</v>
      </c>
      <c r="C33" s="42"/>
      <c r="D33" s="42"/>
      <c r="E33" s="42"/>
      <c r="F33" s="42"/>
      <c r="G33" s="42"/>
      <c r="H33" s="42"/>
      <c r="I33" s="42"/>
      <c r="J33" s="42"/>
      <c r="K33" s="42" t="str">
        <f t="shared" si="0"/>
        <v>未入力</v>
      </c>
      <c r="L33" s="42" t="str">
        <f t="shared" si="1"/>
        <v/>
      </c>
      <c r="M33" s="42" t="str" cm="1">
        <f t="array" aca="1" ref="M33" ca="1">IF(L33 = "","",IF(L33&gt;=INDEX(採点基準_観点別!$C$3:$C$1000,_xlfn.XMATCH(MID(CELL("filename",$A$1),FIND("]",CELL("filename",$A$1))+1,31)&amp;$F$1,採点基準_観点別!$F$3:$F$1000)),"A",IF(L33&gt;=INDEX(採点基準_観点別!$D$3:$D$1000,_xlfn.XMATCH(MID(CELL("filename",$A$1),FIND("]",CELL("filename",$A$1))+1,31)&amp;$F$1,採点基準_観点別!$F$3:$F$1000)),"B",IF(L33&lt;=INDEX(採点基準_観点別!$E$3:$E$1000,_xlfn.XMATCH(MID(CELL("filename",$A$1),FIND("]",CELL("filename",$A$1))+1,31)&amp;$F$1,採点基準_観点別!$F$3:$F$1000)),"C","採点基準が不正です"))))</f>
        <v/>
      </c>
      <c r="N33" s="42"/>
      <c r="O33" s="42"/>
      <c r="P33" s="42"/>
      <c r="Q33" s="42"/>
      <c r="R33" s="42"/>
      <c r="S33" s="42"/>
      <c r="T33" s="42" t="str">
        <f t="shared" si="2"/>
        <v>未入力</v>
      </c>
      <c r="U33" s="42" t="str">
        <f t="shared" si="3"/>
        <v/>
      </c>
      <c r="V33" s="42" t="str" cm="1">
        <f t="array" aca="1" ref="V33" ca="1">IF(U33 = "","",IF(U33&gt;=INDEX(採点基準_観点別!$C$3:$C$1000,_xlfn.XMATCH(MID(CELL("filename",$A$1),FIND("]",CELL("filename",$A$1))+1,31)&amp;$F$1,採点基準_観点別!$F$3:$F$1000)),"A",IF(U33&gt;=INDEX(採点基準_観点別!$D$3:$D$1000,_xlfn.XMATCH(MID(CELL("filename",$A$1),FIND("]",CELL("filename",$A$1))+1,31)&amp;$F$1,採点基準_観点別!$F$3:$F$1000)),"B",IF(U33&lt;=INDEX(採点基準_観点別!$E$3:$E$1000,_xlfn.XMATCH(MID(CELL("filename",$A$1),FIND("]",CELL("filename",$A$1))+1,31)&amp;$F$1,採点基準_観点別!$F$3:$F$1000)),"C","採点基準が不正です"))))</f>
        <v/>
      </c>
      <c r="W33" s="42"/>
      <c r="X33" s="42" t="str">
        <f t="shared" si="4"/>
        <v>未入力</v>
      </c>
      <c r="Y33" s="42" t="str">
        <f t="shared" si="5"/>
        <v/>
      </c>
      <c r="Z33" s="42" t="str" cm="1">
        <f t="array" aca="1" ref="Z33" ca="1">IF(Y33 = "","",IF(Y33&gt;=INDEX(採点基準_観点別!$C$3:$C$1000,_xlfn.XMATCH(MID(CELL("filename",$A$1),FIND("]",CELL("filename",$A$1))+1,31)&amp;$F$1,採点基準_観点別!$F$3:$F$1000)),"A",IF(Y33&gt;=INDEX(採点基準_観点別!$D$3:$D$1000,_xlfn.XMATCH(MID(CELL("filename",$A$1),FIND("]",CELL("filename",$A$1))+1,31)&amp;$F$1,採点基準_観点別!$F$3:$F$1000)),"B",IF(Y33&lt;=INDEX(採点基準_観点別!$E$3:$E$1000,_xlfn.XMATCH(MID(CELL("filename",$A$1),FIND("]",CELL("filename",$A$1))+1,31)&amp;$F$1,採点基準_観点別!$F$3:$F$1000)),"C","採点基準が不正です"))))</f>
        <v/>
      </c>
    </row>
    <row r="34" spans="1:26" x14ac:dyDescent="0.4">
      <c r="A34" s="62">
        <v>14</v>
      </c>
      <c r="B34" s="62" t="s">
        <v>2</v>
      </c>
      <c r="C34" s="31"/>
      <c r="D34" s="31"/>
      <c r="E34" s="31"/>
      <c r="F34" s="31"/>
      <c r="G34" s="31"/>
      <c r="H34" s="31"/>
      <c r="I34" s="31"/>
      <c r="J34" s="31"/>
      <c r="K34" s="31" t="str">
        <f t="shared" si="0"/>
        <v>未入力</v>
      </c>
      <c r="L34" s="31" t="str">
        <f t="shared" si="1"/>
        <v/>
      </c>
      <c r="M34" s="31" t="str" cm="1">
        <f t="array" aca="1" ref="M34" ca="1">IF(L34 = "","",IF(L34&gt;=INDEX(採点基準_観点別!$C$3:$C$1000,_xlfn.XMATCH(MID(CELL("filename",$A$1),FIND("]",CELL("filename",$A$1))+1,31)&amp;$F$1,採点基準_観点別!$F$3:$F$1000)),"A",IF(L34&gt;=INDEX(採点基準_観点別!$D$3:$D$1000,_xlfn.XMATCH(MID(CELL("filename",$A$1),FIND("]",CELL("filename",$A$1))+1,31)&amp;$F$1,採点基準_観点別!$F$3:$F$1000)),"B",IF(L34&lt;=INDEX(採点基準_観点別!$E$3:$E$1000,_xlfn.XMATCH(MID(CELL("filename",$A$1),FIND("]",CELL("filename",$A$1))+1,31)&amp;$F$1,採点基準_観点別!$F$3:$F$1000)),"C","採点基準が不正です"))))</f>
        <v/>
      </c>
      <c r="N34" s="31"/>
      <c r="O34" s="31"/>
      <c r="P34" s="31"/>
      <c r="Q34" s="31"/>
      <c r="R34" s="31"/>
      <c r="S34" s="31"/>
      <c r="T34" s="31" t="str">
        <f t="shared" si="2"/>
        <v>未入力</v>
      </c>
      <c r="U34" s="31" t="str">
        <f t="shared" si="3"/>
        <v/>
      </c>
      <c r="V34" s="31" t="str" cm="1">
        <f t="array" aca="1" ref="V34" ca="1">IF(U34 = "","",IF(U34&gt;=INDEX(採点基準_観点別!$C$3:$C$1000,_xlfn.XMATCH(MID(CELL("filename",$A$1),FIND("]",CELL("filename",$A$1))+1,31)&amp;$F$1,採点基準_観点別!$F$3:$F$1000)),"A",IF(U34&gt;=INDEX(採点基準_観点別!$D$3:$D$1000,_xlfn.XMATCH(MID(CELL("filename",$A$1),FIND("]",CELL("filename",$A$1))+1,31)&amp;$F$1,採点基準_観点別!$F$3:$F$1000)),"B",IF(U34&lt;=INDEX(採点基準_観点別!$E$3:$E$1000,_xlfn.XMATCH(MID(CELL("filename",$A$1),FIND("]",CELL("filename",$A$1))+1,31)&amp;$F$1,採点基準_観点別!$F$3:$F$1000)),"C","採点基準が不正です"))))</f>
        <v/>
      </c>
      <c r="W34" s="31"/>
      <c r="X34" s="31" t="str">
        <f t="shared" si="4"/>
        <v>未入力</v>
      </c>
      <c r="Y34" s="31" t="str">
        <f t="shared" si="5"/>
        <v/>
      </c>
      <c r="Z34" s="31" t="str" cm="1">
        <f t="array" aca="1" ref="Z34" ca="1">IF(Y34 = "","",IF(Y34&gt;=INDEX(採点基準_観点別!$C$3:$C$1000,_xlfn.XMATCH(MID(CELL("filename",$A$1),FIND("]",CELL("filename",$A$1))+1,31)&amp;$F$1,採点基準_観点別!$F$3:$F$1000)),"A",IF(Y34&gt;=INDEX(採点基準_観点別!$D$3:$D$1000,_xlfn.XMATCH(MID(CELL("filename",$A$1),FIND("]",CELL("filename",$A$1))+1,31)&amp;$F$1,採点基準_観点別!$F$3:$F$1000)),"B",IF(Y34&lt;=INDEX(採点基準_観点別!$E$3:$E$1000,_xlfn.XMATCH(MID(CELL("filename",$A$1),FIND("]",CELL("filename",$A$1))+1,31)&amp;$F$1,採点基準_観点別!$F$3:$F$1000)),"C","採点基準が不正です"))))</f>
        <v/>
      </c>
    </row>
    <row r="35" spans="1:26" x14ac:dyDescent="0.4">
      <c r="A35" s="42">
        <v>14</v>
      </c>
      <c r="B35" s="42" t="s">
        <v>2</v>
      </c>
      <c r="C35" s="42"/>
      <c r="D35" s="42"/>
      <c r="E35" s="42"/>
      <c r="F35" s="42"/>
      <c r="G35" s="42"/>
      <c r="H35" s="42"/>
      <c r="I35" s="42"/>
      <c r="J35" s="42"/>
      <c r="K35" s="42" t="str">
        <f t="shared" si="0"/>
        <v>未入力</v>
      </c>
      <c r="L35" s="42" t="str">
        <f t="shared" si="1"/>
        <v/>
      </c>
      <c r="M35" s="42" t="str" cm="1">
        <f t="array" aca="1" ref="M35" ca="1">IF(L35 = "","",IF(L35&gt;=INDEX(採点基準_観点別!$C$3:$C$1000,_xlfn.XMATCH(MID(CELL("filename",$A$1),FIND("]",CELL("filename",$A$1))+1,31)&amp;$F$1,採点基準_観点別!$F$3:$F$1000)),"A",IF(L35&gt;=INDEX(採点基準_観点別!$D$3:$D$1000,_xlfn.XMATCH(MID(CELL("filename",$A$1),FIND("]",CELL("filename",$A$1))+1,31)&amp;$F$1,採点基準_観点別!$F$3:$F$1000)),"B",IF(L35&lt;=INDEX(採点基準_観点別!$E$3:$E$1000,_xlfn.XMATCH(MID(CELL("filename",$A$1),FIND("]",CELL("filename",$A$1))+1,31)&amp;$F$1,採点基準_観点別!$F$3:$F$1000)),"C","採点基準が不正です"))))</f>
        <v/>
      </c>
      <c r="N35" s="42"/>
      <c r="O35" s="42"/>
      <c r="P35" s="42"/>
      <c r="Q35" s="42"/>
      <c r="R35" s="42"/>
      <c r="S35" s="42"/>
      <c r="T35" s="42" t="str">
        <f t="shared" si="2"/>
        <v>未入力</v>
      </c>
      <c r="U35" s="42" t="str">
        <f t="shared" si="3"/>
        <v/>
      </c>
      <c r="V35" s="42" t="str" cm="1">
        <f t="array" aca="1" ref="V35" ca="1">IF(U35 = "","",IF(U35&gt;=INDEX(採点基準_観点別!$C$3:$C$1000,_xlfn.XMATCH(MID(CELL("filename",$A$1),FIND("]",CELL("filename",$A$1))+1,31)&amp;$F$1,採点基準_観点別!$F$3:$F$1000)),"A",IF(U35&gt;=INDEX(採点基準_観点別!$D$3:$D$1000,_xlfn.XMATCH(MID(CELL("filename",$A$1),FIND("]",CELL("filename",$A$1))+1,31)&amp;$F$1,採点基準_観点別!$F$3:$F$1000)),"B",IF(U35&lt;=INDEX(採点基準_観点別!$E$3:$E$1000,_xlfn.XMATCH(MID(CELL("filename",$A$1),FIND("]",CELL("filename",$A$1))+1,31)&amp;$F$1,採点基準_観点別!$F$3:$F$1000)),"C","採点基準が不正です"))))</f>
        <v/>
      </c>
      <c r="W35" s="42"/>
      <c r="X35" s="42" t="str">
        <f t="shared" si="4"/>
        <v>未入力</v>
      </c>
      <c r="Y35" s="42" t="str">
        <f t="shared" si="5"/>
        <v/>
      </c>
      <c r="Z35" s="42" t="str" cm="1">
        <f t="array" aca="1" ref="Z35" ca="1">IF(Y35 = "","",IF(Y35&gt;=INDEX(採点基準_観点別!$C$3:$C$1000,_xlfn.XMATCH(MID(CELL("filename",$A$1),FIND("]",CELL("filename",$A$1))+1,31)&amp;$F$1,採点基準_観点別!$F$3:$F$1000)),"A",IF(Y35&gt;=INDEX(採点基準_観点別!$D$3:$D$1000,_xlfn.XMATCH(MID(CELL("filename",$A$1),FIND("]",CELL("filename",$A$1))+1,31)&amp;$F$1,採点基準_観点別!$F$3:$F$1000)),"B",IF(Y35&lt;=INDEX(採点基準_観点別!$E$3:$E$1000,_xlfn.XMATCH(MID(CELL("filename",$A$1),FIND("]",CELL("filename",$A$1))+1,31)&amp;$F$1,採点基準_観点別!$F$3:$F$1000)),"C","採点基準が不正です"))))</f>
        <v/>
      </c>
    </row>
    <row r="36" spans="1:26" x14ac:dyDescent="0.4">
      <c r="A36" s="62">
        <v>14</v>
      </c>
      <c r="B36" s="62" t="s">
        <v>2</v>
      </c>
      <c r="C36" s="31"/>
      <c r="D36" s="31"/>
      <c r="E36" s="31"/>
      <c r="F36" s="31"/>
      <c r="G36" s="31"/>
      <c r="H36" s="31"/>
      <c r="I36" s="31"/>
      <c r="J36" s="31"/>
      <c r="K36" s="31" t="str">
        <f t="shared" si="0"/>
        <v>未入力</v>
      </c>
      <c r="L36" s="31" t="str">
        <f t="shared" si="1"/>
        <v/>
      </c>
      <c r="M36" s="31" t="str" cm="1">
        <f t="array" aca="1" ref="M36" ca="1">IF(L36 = "","",IF(L36&gt;=INDEX(採点基準_観点別!$C$3:$C$1000,_xlfn.XMATCH(MID(CELL("filename",$A$1),FIND("]",CELL("filename",$A$1))+1,31)&amp;$F$1,採点基準_観点別!$F$3:$F$1000)),"A",IF(L36&gt;=INDEX(採点基準_観点別!$D$3:$D$1000,_xlfn.XMATCH(MID(CELL("filename",$A$1),FIND("]",CELL("filename",$A$1))+1,31)&amp;$F$1,採点基準_観点別!$F$3:$F$1000)),"B",IF(L36&lt;=INDEX(採点基準_観点別!$E$3:$E$1000,_xlfn.XMATCH(MID(CELL("filename",$A$1),FIND("]",CELL("filename",$A$1))+1,31)&amp;$F$1,採点基準_観点別!$F$3:$F$1000)),"C","採点基準が不正です"))))</f>
        <v/>
      </c>
      <c r="N36" s="31"/>
      <c r="O36" s="31"/>
      <c r="P36" s="31"/>
      <c r="Q36" s="31"/>
      <c r="R36" s="31"/>
      <c r="S36" s="31"/>
      <c r="T36" s="31" t="str">
        <f t="shared" si="2"/>
        <v>未入力</v>
      </c>
      <c r="U36" s="31" t="str">
        <f t="shared" si="3"/>
        <v/>
      </c>
      <c r="V36" s="31" t="str" cm="1">
        <f t="array" aca="1" ref="V36" ca="1">IF(U36 = "","",IF(U36&gt;=INDEX(採点基準_観点別!$C$3:$C$1000,_xlfn.XMATCH(MID(CELL("filename",$A$1),FIND("]",CELL("filename",$A$1))+1,31)&amp;$F$1,採点基準_観点別!$F$3:$F$1000)),"A",IF(U36&gt;=INDEX(採点基準_観点別!$D$3:$D$1000,_xlfn.XMATCH(MID(CELL("filename",$A$1),FIND("]",CELL("filename",$A$1))+1,31)&amp;$F$1,採点基準_観点別!$F$3:$F$1000)),"B",IF(U36&lt;=INDEX(採点基準_観点別!$E$3:$E$1000,_xlfn.XMATCH(MID(CELL("filename",$A$1),FIND("]",CELL("filename",$A$1))+1,31)&amp;$F$1,採点基準_観点別!$F$3:$F$1000)),"C","採点基準が不正です"))))</f>
        <v/>
      </c>
      <c r="W36" s="31"/>
      <c r="X36" s="31" t="str">
        <f t="shared" si="4"/>
        <v>未入力</v>
      </c>
      <c r="Y36" s="31" t="str">
        <f t="shared" si="5"/>
        <v/>
      </c>
      <c r="Z36" s="31" t="str" cm="1">
        <f t="array" aca="1" ref="Z36" ca="1">IF(Y36 = "","",IF(Y36&gt;=INDEX(採点基準_観点別!$C$3:$C$1000,_xlfn.XMATCH(MID(CELL("filename",$A$1),FIND("]",CELL("filename",$A$1))+1,31)&amp;$F$1,採点基準_観点別!$F$3:$F$1000)),"A",IF(Y36&gt;=INDEX(採点基準_観点別!$D$3:$D$1000,_xlfn.XMATCH(MID(CELL("filename",$A$1),FIND("]",CELL("filename",$A$1))+1,31)&amp;$F$1,採点基準_観点別!$F$3:$F$1000)),"B",IF(Y36&lt;=INDEX(採点基準_観点別!$E$3:$E$1000,_xlfn.XMATCH(MID(CELL("filename",$A$1),FIND("]",CELL("filename",$A$1))+1,31)&amp;$F$1,採点基準_観点別!$F$3:$F$1000)),"C","採点基準が不正です"))))</f>
        <v/>
      </c>
    </row>
    <row r="37" spans="1:26" x14ac:dyDescent="0.4">
      <c r="A37" s="42">
        <v>14</v>
      </c>
      <c r="B37" s="42" t="s">
        <v>2</v>
      </c>
      <c r="C37" s="42"/>
      <c r="D37" s="42"/>
      <c r="E37" s="42"/>
      <c r="F37" s="42"/>
      <c r="G37" s="42"/>
      <c r="H37" s="42"/>
      <c r="I37" s="42"/>
      <c r="J37" s="42"/>
      <c r="K37" s="42" t="str">
        <f t="shared" si="0"/>
        <v>未入力</v>
      </c>
      <c r="L37" s="42" t="str">
        <f t="shared" si="1"/>
        <v/>
      </c>
      <c r="M37" s="42" t="str" cm="1">
        <f t="array" aca="1" ref="M37" ca="1">IF(L37 = "","",IF(L37&gt;=INDEX(採点基準_観点別!$C$3:$C$1000,_xlfn.XMATCH(MID(CELL("filename",$A$1),FIND("]",CELL("filename",$A$1))+1,31)&amp;$F$1,採点基準_観点別!$F$3:$F$1000)),"A",IF(L37&gt;=INDEX(採点基準_観点別!$D$3:$D$1000,_xlfn.XMATCH(MID(CELL("filename",$A$1),FIND("]",CELL("filename",$A$1))+1,31)&amp;$F$1,採点基準_観点別!$F$3:$F$1000)),"B",IF(L37&lt;=INDEX(採点基準_観点別!$E$3:$E$1000,_xlfn.XMATCH(MID(CELL("filename",$A$1),FIND("]",CELL("filename",$A$1))+1,31)&amp;$F$1,採点基準_観点別!$F$3:$F$1000)),"C","採点基準が不正です"))))</f>
        <v/>
      </c>
      <c r="N37" s="42"/>
      <c r="O37" s="42"/>
      <c r="P37" s="42"/>
      <c r="Q37" s="42"/>
      <c r="R37" s="42"/>
      <c r="S37" s="42"/>
      <c r="T37" s="42" t="str">
        <f t="shared" si="2"/>
        <v>未入力</v>
      </c>
      <c r="U37" s="42" t="str">
        <f t="shared" si="3"/>
        <v/>
      </c>
      <c r="V37" s="42" t="str" cm="1">
        <f t="array" aca="1" ref="V37" ca="1">IF(U37 = "","",IF(U37&gt;=INDEX(採点基準_観点別!$C$3:$C$1000,_xlfn.XMATCH(MID(CELL("filename",$A$1),FIND("]",CELL("filename",$A$1))+1,31)&amp;$F$1,採点基準_観点別!$F$3:$F$1000)),"A",IF(U37&gt;=INDEX(採点基準_観点別!$D$3:$D$1000,_xlfn.XMATCH(MID(CELL("filename",$A$1),FIND("]",CELL("filename",$A$1))+1,31)&amp;$F$1,採点基準_観点別!$F$3:$F$1000)),"B",IF(U37&lt;=INDEX(採点基準_観点別!$E$3:$E$1000,_xlfn.XMATCH(MID(CELL("filename",$A$1),FIND("]",CELL("filename",$A$1))+1,31)&amp;$F$1,採点基準_観点別!$F$3:$F$1000)),"C","採点基準が不正です"))))</f>
        <v/>
      </c>
      <c r="W37" s="42"/>
      <c r="X37" s="42" t="str">
        <f t="shared" si="4"/>
        <v>未入力</v>
      </c>
      <c r="Y37" s="42" t="str">
        <f t="shared" si="5"/>
        <v/>
      </c>
      <c r="Z37" s="42" t="str" cm="1">
        <f t="array" aca="1" ref="Z37" ca="1">IF(Y37 = "","",IF(Y37&gt;=INDEX(採点基準_観点別!$C$3:$C$1000,_xlfn.XMATCH(MID(CELL("filename",$A$1),FIND("]",CELL("filename",$A$1))+1,31)&amp;$F$1,採点基準_観点別!$F$3:$F$1000)),"A",IF(Y37&gt;=INDEX(採点基準_観点別!$D$3:$D$1000,_xlfn.XMATCH(MID(CELL("filename",$A$1),FIND("]",CELL("filename",$A$1))+1,31)&amp;$F$1,採点基準_観点別!$F$3:$F$1000)),"B",IF(Y37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生徒氏名設定</vt:lpstr>
      <vt:lpstr>評価項目設定</vt:lpstr>
      <vt:lpstr>その他設定</vt:lpstr>
      <vt:lpstr>設定 (2)</vt:lpstr>
      <vt:lpstr>DeveloperMemo</vt:lpstr>
      <vt:lpstr>生徒氏名設定 (2)</vt:lpstr>
      <vt:lpstr>評価項目設定 (2)</vt:lpstr>
      <vt:lpstr>その他設定 (2)</vt:lpstr>
      <vt:lpstr>採点基準 (2)</vt:lpstr>
      <vt:lpstr>採点基準_観点別</vt:lpstr>
      <vt:lpstr>採点基準_単元別</vt:lpstr>
      <vt:lpstr>国語</vt:lpstr>
      <vt:lpstr>算数</vt:lpstr>
      <vt:lpstr>理科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2023-03-18T17:37:55Z</dcterms:modified>
</cp:coreProperties>
</file>