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A2222FCA-115D-45BF-AACE-589BEA9EEF7A}" xr6:coauthVersionLast="47" xr6:coauthVersionMax="47" xr10:uidLastSave="{00000000-0000-0000-0000-000000000000}"/>
  <bookViews>
    <workbookView xWindow="-120" yWindow="-120" windowWidth="29040" windowHeight="15720" tabRatio="776" xr2:uid="{A21CF5A8-1970-4B84-8123-57BC29D37732}"/>
  </bookViews>
  <sheets>
    <sheet name="使い方" sheetId="113" r:id="rId1"/>
    <sheet name="生徒氏名設定" sheetId="93" r:id="rId2"/>
    <sheet name="評価項目設定" sheetId="92" r:id="rId3"/>
    <sheet name="その他設定" sheetId="1" r:id="rId4"/>
    <sheet name="設定 (2)" sheetId="30" state="hidden" r:id="rId5"/>
    <sheet name="採点基準_観点別" sheetId="107" r:id="rId6"/>
    <sheet name="採点基準_単元別" sheetId="106" r:id="rId7"/>
    <sheet name="理科" sheetId="112" r:id="rId8"/>
    <sheet name="国語" sheetId="114" r:id="rId9"/>
  </sheets>
  <functionGroups builtInGroupCount="19"/>
  <definedNames>
    <definedName name="_xlnm._FilterDatabase" localSheetId="3" hidden="1">その他設定!$A$2:$B$38</definedName>
    <definedName name="_xlnm._FilterDatabase" localSheetId="6" hidden="1">採点基準_単元別!$B$2:$Q$24</definedName>
    <definedName name="_xlnm._FilterDatabase" localSheetId="1" hidden="1">生徒氏名設定!$A$2:$B$2</definedName>
    <definedName name="_xlnm._FilterDatabase" localSheetId="4" hidden="1">'設定 (2)'!$C$2:$D$45</definedName>
    <definedName name="_xlnm._FilterDatabase" localSheetId="2" hidden="1">評価項目設定!$A$2:$C$2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12" l="1" a="1"/>
  <c r="L3" i="112" s="1"/>
  <c r="K3" i="112" a="1"/>
  <c r="K3" i="112" s="1"/>
  <c r="X37" i="112"/>
  <c r="Y37" i="112" s="1"/>
  <c r="Z37" i="112" s="1" a="1"/>
  <c r="Z37" i="112" s="1"/>
  <c r="X36" i="112"/>
  <c r="Y36" i="112" s="1"/>
  <c r="Z36" i="112" s="1" a="1"/>
  <c r="Z36" i="112" s="1"/>
  <c r="X35" i="112"/>
  <c r="Y35" i="112" s="1"/>
  <c r="Z35" i="112" s="1" a="1"/>
  <c r="Z35" i="112" s="1"/>
  <c r="Y34" i="112"/>
  <c r="Z34" i="112" s="1" a="1"/>
  <c r="Z34" i="112" s="1"/>
  <c r="X34" i="112"/>
  <c r="X33" i="112"/>
  <c r="Y33" i="112" s="1"/>
  <c r="Z33" i="112" s="1" a="1"/>
  <c r="Z33" i="112" s="1"/>
  <c r="X32" i="112"/>
  <c r="Y32" i="112" s="1"/>
  <c r="Z32" i="112" s="1" a="1"/>
  <c r="Z32" i="112" s="1"/>
  <c r="X31" i="112"/>
  <c r="Y31" i="112" s="1"/>
  <c r="Z31" i="112" s="1" a="1"/>
  <c r="Z31" i="112" s="1"/>
  <c r="Y30" i="112"/>
  <c r="Z30" i="112" s="1" a="1"/>
  <c r="Z30" i="112" s="1"/>
  <c r="X30" i="112"/>
  <c r="X29" i="112"/>
  <c r="Y29" i="112" s="1"/>
  <c r="Z29" i="112" s="1" a="1"/>
  <c r="Z29" i="112" s="1"/>
  <c r="X28" i="112"/>
  <c r="Y28" i="112" s="1"/>
  <c r="Z28" i="112" s="1" a="1"/>
  <c r="Z28" i="112" s="1"/>
  <c r="X27" i="112"/>
  <c r="Y27" i="112" s="1"/>
  <c r="Z27" i="112" s="1" a="1"/>
  <c r="Z27" i="112" s="1"/>
  <c r="Y26" i="112"/>
  <c r="Z26" i="112" s="1" a="1"/>
  <c r="Z26" i="112" s="1"/>
  <c r="X26" i="112"/>
  <c r="X25" i="112"/>
  <c r="Y25" i="112" s="1"/>
  <c r="Z25" i="112" s="1" a="1"/>
  <c r="Z25" i="112" s="1"/>
  <c r="X24" i="112"/>
  <c r="Y24" i="112" s="1"/>
  <c r="Z24" i="112" s="1" a="1"/>
  <c r="Z24" i="112" s="1"/>
  <c r="X23" i="112"/>
  <c r="Y23" i="112" s="1"/>
  <c r="Z23" i="112" s="1" a="1"/>
  <c r="Z23" i="112" s="1"/>
  <c r="Y22" i="112"/>
  <c r="Z22" i="112" s="1" a="1"/>
  <c r="Z22" i="112" s="1"/>
  <c r="X22" i="112"/>
  <c r="X21" i="112"/>
  <c r="Y21" i="112" s="1"/>
  <c r="Z21" i="112" s="1" a="1"/>
  <c r="Z21" i="112" s="1"/>
  <c r="X20" i="112"/>
  <c r="Y20" i="112" s="1"/>
  <c r="Z20" i="112" s="1" a="1"/>
  <c r="Z20" i="112" s="1"/>
  <c r="X19" i="112"/>
  <c r="Y19" i="112" s="1"/>
  <c r="Z19" i="112" s="1" a="1"/>
  <c r="Z19" i="112" s="1"/>
  <c r="Y18" i="112"/>
  <c r="Z18" i="112" s="1" a="1"/>
  <c r="Z18" i="112" s="1"/>
  <c r="X18" i="112"/>
  <c r="X17" i="112"/>
  <c r="Y17" i="112" s="1"/>
  <c r="Z17" i="112" s="1" a="1"/>
  <c r="Z17" i="112" s="1"/>
  <c r="X16" i="112"/>
  <c r="Y16" i="112" s="1"/>
  <c r="Z16" i="112" s="1" a="1"/>
  <c r="Z16" i="112" s="1"/>
  <c r="X15" i="112"/>
  <c r="Y15" i="112" s="1"/>
  <c r="Z15" i="112" s="1" a="1"/>
  <c r="Z15" i="112" s="1"/>
  <c r="Y14" i="112"/>
  <c r="Z14" i="112" s="1" a="1"/>
  <c r="Z14" i="112" s="1"/>
  <c r="X14" i="112"/>
  <c r="X13" i="112"/>
  <c r="Y13" i="112" s="1"/>
  <c r="Z13" i="112" s="1" a="1"/>
  <c r="Z13" i="112" s="1"/>
  <c r="X12" i="112"/>
  <c r="Y12" i="112" s="1"/>
  <c r="Z12" i="112" s="1" a="1"/>
  <c r="Z12" i="112" s="1"/>
  <c r="X11" i="112"/>
  <c r="Y11" i="112" s="1"/>
  <c r="Z11" i="112" s="1" a="1"/>
  <c r="Z11" i="112" s="1"/>
  <c r="Y10" i="112"/>
  <c r="Z10" i="112" s="1" a="1"/>
  <c r="Z10" i="112" s="1"/>
  <c r="X10" i="112"/>
  <c r="X9" i="112"/>
  <c r="Y9" i="112" s="1"/>
  <c r="Z9" i="112" s="1" a="1"/>
  <c r="Z9" i="112" s="1"/>
  <c r="X8" i="112"/>
  <c r="Y8" i="112" s="1"/>
  <c r="Z8" i="112" s="1" a="1"/>
  <c r="Z8" i="112" s="1"/>
  <c r="X7" i="112"/>
  <c r="Y7" i="112" s="1"/>
  <c r="Z7" i="112" s="1" a="1"/>
  <c r="Z7" i="112" s="1"/>
  <c r="Y6" i="112"/>
  <c r="Z6" i="112" s="1" a="1"/>
  <c r="Z6" i="112" s="1"/>
  <c r="X6" i="112"/>
  <c r="Y5" i="112"/>
  <c r="Z5" i="112" s="1" a="1"/>
  <c r="Z5" i="112" s="1"/>
  <c r="W3" i="112" a="1"/>
  <c r="W3" i="112" s="1"/>
  <c r="X5" i="112"/>
  <c r="T37" i="112"/>
  <c r="U37" i="112" s="1"/>
  <c r="V37" i="112" s="1" a="1"/>
  <c r="V37" i="112" s="1"/>
  <c r="T36" i="112"/>
  <c r="U36" i="112" s="1"/>
  <c r="V36" i="112" s="1" a="1"/>
  <c r="V36" i="112" s="1"/>
  <c r="T35" i="112"/>
  <c r="U35" i="112" s="1"/>
  <c r="V35" i="112" s="1" a="1"/>
  <c r="V35" i="112" s="1"/>
  <c r="U34" i="112"/>
  <c r="V34" i="112" s="1" a="1"/>
  <c r="V34" i="112" s="1"/>
  <c r="T34" i="112"/>
  <c r="T33" i="112"/>
  <c r="U33" i="112" s="1"/>
  <c r="V33" i="112" s="1" a="1"/>
  <c r="V33" i="112" s="1"/>
  <c r="T32" i="112"/>
  <c r="U32" i="112" s="1"/>
  <c r="V32" i="112" s="1" a="1"/>
  <c r="V32" i="112" s="1"/>
  <c r="T31" i="112"/>
  <c r="U31" i="112" s="1"/>
  <c r="V31" i="112" s="1" a="1"/>
  <c r="V31" i="112" s="1"/>
  <c r="U30" i="112"/>
  <c r="V30" i="112" s="1" a="1"/>
  <c r="V30" i="112" s="1"/>
  <c r="T30" i="112"/>
  <c r="T29" i="112"/>
  <c r="U29" i="112" s="1"/>
  <c r="V29" i="112" s="1" a="1"/>
  <c r="V29" i="112" s="1"/>
  <c r="T28" i="112"/>
  <c r="U28" i="112" s="1"/>
  <c r="V28" i="112" s="1" a="1"/>
  <c r="V28" i="112" s="1"/>
  <c r="T27" i="112"/>
  <c r="U27" i="112" s="1"/>
  <c r="V27" i="112" s="1" a="1"/>
  <c r="V27" i="112" s="1"/>
  <c r="U26" i="112"/>
  <c r="V26" i="112" s="1" a="1"/>
  <c r="V26" i="112" s="1"/>
  <c r="T26" i="112"/>
  <c r="T25" i="112"/>
  <c r="U25" i="112" s="1"/>
  <c r="V25" i="112" s="1" a="1"/>
  <c r="V25" i="112" s="1"/>
  <c r="T24" i="112"/>
  <c r="U24" i="112" s="1"/>
  <c r="V24" i="112" s="1" a="1"/>
  <c r="V24" i="112" s="1"/>
  <c r="T23" i="112"/>
  <c r="U23" i="112" s="1"/>
  <c r="V23" i="112" s="1" a="1"/>
  <c r="V23" i="112" s="1"/>
  <c r="U22" i="112"/>
  <c r="V22" i="112" s="1" a="1"/>
  <c r="V22" i="112" s="1"/>
  <c r="T22" i="112"/>
  <c r="T21" i="112"/>
  <c r="U21" i="112" s="1"/>
  <c r="V21" i="112" s="1" a="1"/>
  <c r="V21" i="112" s="1"/>
  <c r="T20" i="112"/>
  <c r="U20" i="112" s="1"/>
  <c r="V20" i="112" s="1" a="1"/>
  <c r="V20" i="112" s="1"/>
  <c r="T19" i="112"/>
  <c r="U19" i="112" s="1"/>
  <c r="V19" i="112" s="1" a="1"/>
  <c r="V19" i="112" s="1"/>
  <c r="U18" i="112"/>
  <c r="V18" i="112" s="1" a="1"/>
  <c r="V18" i="112" s="1"/>
  <c r="T18" i="112"/>
  <c r="T17" i="112"/>
  <c r="U17" i="112" s="1"/>
  <c r="V17" i="112" s="1" a="1"/>
  <c r="V17" i="112" s="1"/>
  <c r="T16" i="112"/>
  <c r="U16" i="112" s="1"/>
  <c r="V16" i="112" s="1" a="1"/>
  <c r="V16" i="112" s="1"/>
  <c r="T15" i="112"/>
  <c r="U15" i="112" s="1"/>
  <c r="V15" i="112" s="1" a="1"/>
  <c r="V15" i="112" s="1"/>
  <c r="U14" i="112"/>
  <c r="V14" i="112" s="1" a="1"/>
  <c r="V14" i="112" s="1"/>
  <c r="T14" i="112"/>
  <c r="T13" i="112"/>
  <c r="U13" i="112" s="1"/>
  <c r="V13" i="112" s="1" a="1"/>
  <c r="V13" i="112" s="1"/>
  <c r="T12" i="112"/>
  <c r="U12" i="112" s="1"/>
  <c r="V12" i="112" s="1" a="1"/>
  <c r="V12" i="112" s="1"/>
  <c r="T11" i="112"/>
  <c r="U11" i="112" s="1"/>
  <c r="V11" i="112" s="1" a="1"/>
  <c r="V11" i="112" s="1"/>
  <c r="U10" i="112"/>
  <c r="V10" i="112" s="1" a="1"/>
  <c r="V10" i="112" s="1"/>
  <c r="T10" i="112"/>
  <c r="T9" i="112"/>
  <c r="U9" i="112" s="1"/>
  <c r="V9" i="112" s="1" a="1"/>
  <c r="V9" i="112" s="1"/>
  <c r="T8" i="112"/>
  <c r="U8" i="112" s="1"/>
  <c r="V8" i="112" s="1" a="1"/>
  <c r="V8" i="112" s="1"/>
  <c r="T7" i="112"/>
  <c r="U7" i="112" s="1"/>
  <c r="V7" i="112" s="1" a="1"/>
  <c r="V7" i="112" s="1"/>
  <c r="U6" i="112"/>
  <c r="V6" i="112" s="1" a="1"/>
  <c r="V6" i="112" s="1"/>
  <c r="T6" i="112"/>
  <c r="U5" i="112"/>
  <c r="V5" i="112" s="1" a="1"/>
  <c r="V5" i="112" s="1"/>
  <c r="S3" i="112" a="1"/>
  <c r="S3" i="112" s="1"/>
  <c r="R3" i="112" a="1"/>
  <c r="R3" i="112" s="1"/>
  <c r="Q3" i="112" a="1"/>
  <c r="Q3" i="112" s="1"/>
  <c r="P3" i="112" a="1"/>
  <c r="P3" i="112" s="1"/>
  <c r="O3" i="112" a="1"/>
  <c r="O3" i="112" s="1"/>
  <c r="N3" i="112" a="1"/>
  <c r="N3" i="112" s="1"/>
  <c r="T5" i="112"/>
  <c r="K37" i="112"/>
  <c r="L37" i="112" s="1"/>
  <c r="M37" i="112" s="1" a="1"/>
  <c r="M37" i="112" s="1"/>
  <c r="K36" i="112"/>
  <c r="L36" i="112" s="1"/>
  <c r="M36" i="112" s="1" a="1"/>
  <c r="M36" i="112" s="1"/>
  <c r="K35" i="112"/>
  <c r="L35" i="112" s="1"/>
  <c r="M35" i="112" s="1" a="1"/>
  <c r="M35" i="112" s="1"/>
  <c r="K34" i="112"/>
  <c r="L34" i="112" s="1"/>
  <c r="M34" i="112" s="1" a="1"/>
  <c r="M34" i="112" s="1"/>
  <c r="K33" i="112"/>
  <c r="L33" i="112" s="1"/>
  <c r="M33" i="112" s="1" a="1"/>
  <c r="M33" i="112" s="1"/>
  <c r="K32" i="112"/>
  <c r="L32" i="112" s="1"/>
  <c r="M32" i="112" s="1" a="1"/>
  <c r="M32" i="112" s="1"/>
  <c r="K31" i="112"/>
  <c r="L31" i="112" s="1"/>
  <c r="M31" i="112" s="1" a="1"/>
  <c r="M31" i="112" s="1"/>
  <c r="K30" i="112"/>
  <c r="L30" i="112" s="1"/>
  <c r="M30" i="112" s="1" a="1"/>
  <c r="M30" i="112" s="1"/>
  <c r="K29" i="112"/>
  <c r="L29" i="112" s="1"/>
  <c r="M29" i="112" s="1" a="1"/>
  <c r="M29" i="112" s="1"/>
  <c r="K28" i="112"/>
  <c r="L28" i="112" s="1"/>
  <c r="M28" i="112" s="1" a="1"/>
  <c r="M28" i="112" s="1"/>
  <c r="K27" i="112"/>
  <c r="L27" i="112" s="1"/>
  <c r="M27" i="112" s="1" a="1"/>
  <c r="M27" i="112" s="1"/>
  <c r="K26" i="112"/>
  <c r="L26" i="112" s="1"/>
  <c r="M26" i="112" s="1" a="1"/>
  <c r="M26" i="112" s="1"/>
  <c r="K25" i="112"/>
  <c r="L25" i="112" s="1"/>
  <c r="M25" i="112" s="1" a="1"/>
  <c r="M25" i="112" s="1"/>
  <c r="K24" i="112"/>
  <c r="L24" i="112" s="1"/>
  <c r="M24" i="112" s="1" a="1"/>
  <c r="M24" i="112" s="1"/>
  <c r="K23" i="112"/>
  <c r="L23" i="112" s="1"/>
  <c r="M23" i="112" s="1" a="1"/>
  <c r="M23" i="112" s="1"/>
  <c r="K22" i="112"/>
  <c r="L22" i="112" s="1"/>
  <c r="M22" i="112" s="1" a="1"/>
  <c r="M22" i="112" s="1"/>
  <c r="K21" i="112"/>
  <c r="L21" i="112" s="1"/>
  <c r="M21" i="112" s="1" a="1"/>
  <c r="M21" i="112" s="1"/>
  <c r="K20" i="112"/>
  <c r="L20" i="112" s="1"/>
  <c r="M20" i="112" s="1" a="1"/>
  <c r="M20" i="112" s="1"/>
  <c r="K19" i="112"/>
  <c r="L19" i="112" s="1"/>
  <c r="M19" i="112" s="1" a="1"/>
  <c r="M19" i="112" s="1"/>
  <c r="K18" i="112"/>
  <c r="L18" i="112" s="1"/>
  <c r="M18" i="112" s="1" a="1"/>
  <c r="M18" i="112" s="1"/>
  <c r="K17" i="112"/>
  <c r="L17" i="112" s="1"/>
  <c r="M17" i="112" s="1" a="1"/>
  <c r="M17" i="112" s="1"/>
  <c r="K16" i="112"/>
  <c r="L16" i="112" s="1"/>
  <c r="M16" i="112" s="1" a="1"/>
  <c r="M16" i="112" s="1"/>
  <c r="K15" i="112"/>
  <c r="L15" i="112" s="1"/>
  <c r="M15" i="112" s="1" a="1"/>
  <c r="M15" i="112" s="1"/>
  <c r="K14" i="112"/>
  <c r="L14" i="112" s="1"/>
  <c r="M14" i="112" s="1" a="1"/>
  <c r="M14" i="112" s="1"/>
  <c r="K13" i="112"/>
  <c r="L13" i="112" s="1"/>
  <c r="M13" i="112" s="1" a="1"/>
  <c r="M13" i="112" s="1"/>
  <c r="K12" i="112"/>
  <c r="L12" i="112" s="1"/>
  <c r="M12" i="112" s="1" a="1"/>
  <c r="M12" i="112" s="1"/>
  <c r="K11" i="112"/>
  <c r="L11" i="112" s="1"/>
  <c r="M11" i="112" s="1" a="1"/>
  <c r="M11" i="112" s="1"/>
  <c r="K10" i="112"/>
  <c r="L10" i="112" s="1"/>
  <c r="M10" i="112" s="1" a="1"/>
  <c r="M10" i="112" s="1"/>
  <c r="K9" i="112"/>
  <c r="L9" i="112" s="1"/>
  <c r="M9" i="112" s="1" a="1"/>
  <c r="M9" i="112" s="1"/>
  <c r="K8" i="112"/>
  <c r="L8" i="112" s="1"/>
  <c r="M8" i="112" s="1" a="1"/>
  <c r="M8" i="112" s="1"/>
  <c r="K7" i="112"/>
  <c r="L7" i="112" s="1"/>
  <c r="M7" i="112" s="1" a="1"/>
  <c r="M7" i="112" s="1"/>
  <c r="K6" i="112"/>
  <c r="L6" i="112" s="1"/>
  <c r="M6" i="112" s="1" a="1"/>
  <c r="M6" i="112" s="1"/>
  <c r="L5" i="112"/>
  <c r="J3" i="112" a="1"/>
  <c r="J3" i="112" s="1"/>
  <c r="I3" i="112" a="1"/>
  <c r="I3" i="112" s="1"/>
  <c r="H3" i="112" a="1"/>
  <c r="H3" i="112" s="1"/>
  <c r="G3" i="112" a="1"/>
  <c r="G3" i="112" s="1"/>
  <c r="F3" i="112" a="1"/>
  <c r="F3" i="112" s="1"/>
  <c r="K5" i="112"/>
  <c r="AI24" i="114"/>
  <c r="AJ24" i="114" s="1"/>
  <c r="AK24" i="114" s="1" a="1"/>
  <c r="AK24" i="114" s="1"/>
  <c r="AI23" i="114"/>
  <c r="AJ23" i="114" s="1"/>
  <c r="AK23" i="114" s="1" a="1"/>
  <c r="AK23" i="114" s="1"/>
  <c r="AI22" i="114"/>
  <c r="AJ22" i="114" s="1"/>
  <c r="AK22" i="114" s="1" a="1"/>
  <c r="AK22" i="114" s="1"/>
  <c r="AI21" i="114"/>
  <c r="AJ21" i="114" s="1"/>
  <c r="AK21" i="114" s="1" a="1"/>
  <c r="AK21" i="114" s="1"/>
  <c r="AI20" i="114"/>
  <c r="AJ20" i="114" s="1"/>
  <c r="AK20" i="114" s="1" a="1"/>
  <c r="AK20" i="114" s="1"/>
  <c r="AI19" i="114"/>
  <c r="AJ19" i="114" s="1"/>
  <c r="AK19" i="114" s="1" a="1"/>
  <c r="AK19" i="114" s="1"/>
  <c r="AI18" i="114"/>
  <c r="AJ18" i="114" s="1"/>
  <c r="AK18" i="114" s="1" a="1"/>
  <c r="AK18" i="114" s="1"/>
  <c r="AI17" i="114"/>
  <c r="AJ17" i="114" s="1"/>
  <c r="AK17" i="114" s="1" a="1"/>
  <c r="AK17" i="114" s="1"/>
  <c r="AI16" i="114"/>
  <c r="AJ16" i="114" s="1"/>
  <c r="AK16" i="114" s="1" a="1"/>
  <c r="AK16" i="114" s="1"/>
  <c r="AI15" i="114"/>
  <c r="AJ15" i="114" s="1"/>
  <c r="AK15" i="114" s="1" a="1"/>
  <c r="AK15" i="114" s="1"/>
  <c r="AI14" i="114"/>
  <c r="AJ14" i="114" s="1"/>
  <c r="AK14" i="114" s="1" a="1"/>
  <c r="AK14" i="114" s="1"/>
  <c r="AI13" i="114"/>
  <c r="AJ13" i="114" s="1"/>
  <c r="AK13" i="114" s="1" a="1"/>
  <c r="AK13" i="114" s="1"/>
  <c r="AI12" i="114"/>
  <c r="AJ12" i="114" s="1"/>
  <c r="AK12" i="114" s="1" a="1"/>
  <c r="AK12" i="114" s="1"/>
  <c r="AI11" i="114"/>
  <c r="AJ11" i="114" s="1"/>
  <c r="AK11" i="114" s="1" a="1"/>
  <c r="AK11" i="114" s="1"/>
  <c r="AI10" i="114"/>
  <c r="AJ10" i="114" s="1"/>
  <c r="AK10" i="114" s="1" a="1"/>
  <c r="AK10" i="114" s="1"/>
  <c r="AI9" i="114"/>
  <c r="AJ9" i="114" s="1"/>
  <c r="AK9" i="114" s="1" a="1"/>
  <c r="AK9" i="114" s="1"/>
  <c r="AI8" i="114"/>
  <c r="AJ8" i="114" s="1"/>
  <c r="AK8" i="114" s="1" a="1"/>
  <c r="AK8" i="114" s="1"/>
  <c r="AI7" i="114"/>
  <c r="AJ7" i="114" s="1"/>
  <c r="AK7" i="114" s="1" a="1"/>
  <c r="AK7" i="114" s="1"/>
  <c r="AI6" i="114"/>
  <c r="AJ6" i="114" s="1"/>
  <c r="AK6" i="114" s="1" a="1"/>
  <c r="AK6" i="114" s="1"/>
  <c r="AJ5" i="114"/>
  <c r="AK5" i="114" s="1" a="1"/>
  <c r="AK5" i="114" s="1"/>
  <c r="AH3" i="114" a="1"/>
  <c r="AH3" i="114" s="1"/>
  <c r="AG3" i="114" a="1"/>
  <c r="AG3" i="114" s="1"/>
  <c r="AF3" i="114" a="1"/>
  <c r="AF3" i="114" s="1"/>
  <c r="AE3" i="114" a="1"/>
  <c r="AE3" i="114" s="1"/>
  <c r="AD3" i="114" a="1"/>
  <c r="AD3" i="114" s="1"/>
  <c r="AC3" i="114" a="1"/>
  <c r="AC3" i="114" s="1"/>
  <c r="AB3" i="114" a="1"/>
  <c r="AB3" i="114" s="1"/>
  <c r="AA3" i="114" a="1"/>
  <c r="AA3" i="114" s="1"/>
  <c r="AI5" i="114"/>
  <c r="X24" i="114"/>
  <c r="Y24" i="114" s="1"/>
  <c r="Z24" i="114" s="1" a="1"/>
  <c r="Z24" i="114" s="1"/>
  <c r="Y23" i="114"/>
  <c r="Z23" i="114" s="1" a="1"/>
  <c r="Z23" i="114" s="1"/>
  <c r="X23" i="114"/>
  <c r="X22" i="114"/>
  <c r="Y22" i="114" s="1"/>
  <c r="Z22" i="114" s="1" a="1"/>
  <c r="Z22" i="114" s="1"/>
  <c r="X21" i="114"/>
  <c r="Y21" i="114" s="1"/>
  <c r="Z21" i="114" s="1" a="1"/>
  <c r="Z21" i="114" s="1"/>
  <c r="X20" i="114"/>
  <c r="Y20" i="114" s="1"/>
  <c r="Z20" i="114" s="1" a="1"/>
  <c r="Z20" i="114" s="1"/>
  <c r="Y19" i="114"/>
  <c r="Z19" i="114" s="1" a="1"/>
  <c r="Z19" i="114" s="1"/>
  <c r="X19" i="114"/>
  <c r="X18" i="114"/>
  <c r="Y18" i="114" s="1"/>
  <c r="Z18" i="114" s="1" a="1"/>
  <c r="Z18" i="114" s="1"/>
  <c r="X17" i="114"/>
  <c r="Y17" i="114" s="1"/>
  <c r="Z17" i="114" s="1" a="1"/>
  <c r="Z17" i="114" s="1"/>
  <c r="X16" i="114"/>
  <c r="Y16" i="114" s="1"/>
  <c r="Z16" i="114" s="1" a="1"/>
  <c r="Z16" i="114" s="1"/>
  <c r="Y15" i="114"/>
  <c r="Z15" i="114" s="1" a="1"/>
  <c r="Z15" i="114" s="1"/>
  <c r="X15" i="114"/>
  <c r="X14" i="114"/>
  <c r="Y14" i="114" s="1"/>
  <c r="Z14" i="114" s="1" a="1"/>
  <c r="Z14" i="114" s="1"/>
  <c r="X13" i="114"/>
  <c r="Y13" i="114" s="1"/>
  <c r="Z13" i="114" s="1" a="1"/>
  <c r="Z13" i="114" s="1"/>
  <c r="X12" i="114"/>
  <c r="Y12" i="114" s="1"/>
  <c r="Z12" i="114" s="1" a="1"/>
  <c r="Z12" i="114" s="1"/>
  <c r="Y11" i="114"/>
  <c r="Z11" i="114" s="1" a="1"/>
  <c r="Z11" i="114" s="1"/>
  <c r="X11" i="114"/>
  <c r="X10" i="114"/>
  <c r="Y10" i="114" s="1"/>
  <c r="Z10" i="114" s="1" a="1"/>
  <c r="Z10" i="114" s="1"/>
  <c r="X9" i="114"/>
  <c r="Y9" i="114" s="1"/>
  <c r="Z9" i="114" s="1" a="1"/>
  <c r="Z9" i="114" s="1"/>
  <c r="X8" i="114"/>
  <c r="Y8" i="114" s="1"/>
  <c r="Z8" i="114" s="1" a="1"/>
  <c r="Z8" i="114" s="1"/>
  <c r="Y7" i="114"/>
  <c r="Z7" i="114" s="1" a="1"/>
  <c r="Z7" i="114" s="1"/>
  <c r="X7" i="114"/>
  <c r="X6" i="114"/>
  <c r="Y6" i="114" s="1"/>
  <c r="Z6" i="114" s="1" a="1"/>
  <c r="Z6" i="114" s="1"/>
  <c r="Y5" i="114"/>
  <c r="Z5" i="114" s="1" a="1"/>
  <c r="Z5" i="114" s="1"/>
  <c r="W3" i="114" a="1"/>
  <c r="W3" i="114" s="1"/>
  <c r="V3" i="114" a="1"/>
  <c r="V3" i="114" s="1"/>
  <c r="U3" i="114" a="1"/>
  <c r="U3" i="114" s="1"/>
  <c r="T3" i="114" a="1"/>
  <c r="T3" i="114" s="1"/>
  <c r="S3" i="114" a="1"/>
  <c r="S3" i="114" s="1"/>
  <c r="R3" i="114" a="1"/>
  <c r="R3" i="114" s="1"/>
  <c r="Q3" i="114" a="1"/>
  <c r="Q3" i="114" s="1"/>
  <c r="X5" i="114"/>
  <c r="N24" i="114"/>
  <c r="O24" i="114" s="1"/>
  <c r="P24" i="114" s="1" a="1"/>
  <c r="P24" i="114" s="1"/>
  <c r="N23" i="114"/>
  <c r="O23" i="114" s="1"/>
  <c r="P23" i="114" s="1" a="1"/>
  <c r="P23" i="114" s="1"/>
  <c r="N22" i="114"/>
  <c r="O22" i="114" s="1"/>
  <c r="P22" i="114" s="1" a="1"/>
  <c r="P22" i="114" s="1"/>
  <c r="N21" i="114"/>
  <c r="O21" i="114" s="1"/>
  <c r="P21" i="114" s="1" a="1"/>
  <c r="P21" i="114" s="1"/>
  <c r="N20" i="114"/>
  <c r="O20" i="114" s="1"/>
  <c r="P20" i="114" s="1" a="1"/>
  <c r="P20" i="114" s="1"/>
  <c r="N19" i="114"/>
  <c r="O19" i="114" s="1"/>
  <c r="P19" i="114" s="1" a="1"/>
  <c r="P19" i="114" s="1"/>
  <c r="N18" i="114"/>
  <c r="O18" i="114" s="1"/>
  <c r="P18" i="114" s="1" a="1"/>
  <c r="P18" i="114" s="1"/>
  <c r="N17" i="114"/>
  <c r="O17" i="114" s="1"/>
  <c r="P17" i="114" s="1" a="1"/>
  <c r="P17" i="114" s="1"/>
  <c r="N16" i="114"/>
  <c r="O16" i="114" s="1"/>
  <c r="P16" i="114" s="1" a="1"/>
  <c r="P16" i="114" s="1"/>
  <c r="N15" i="114"/>
  <c r="O15" i="114" s="1"/>
  <c r="P15" i="114" s="1" a="1"/>
  <c r="P15" i="114" s="1"/>
  <c r="N14" i="114"/>
  <c r="O14" i="114" s="1"/>
  <c r="P14" i="114" s="1" a="1"/>
  <c r="P14" i="114" s="1"/>
  <c r="N13" i="114"/>
  <c r="O13" i="114" s="1"/>
  <c r="P13" i="114" s="1" a="1"/>
  <c r="P13" i="114" s="1"/>
  <c r="N12" i="114"/>
  <c r="O12" i="114" s="1"/>
  <c r="P12" i="114" s="1" a="1"/>
  <c r="P12" i="114" s="1"/>
  <c r="N11" i="114"/>
  <c r="O11" i="114" s="1"/>
  <c r="P11" i="114" s="1" a="1"/>
  <c r="P11" i="114" s="1"/>
  <c r="N10" i="114"/>
  <c r="O10" i="114" s="1"/>
  <c r="P10" i="114" s="1" a="1"/>
  <c r="P10" i="114" s="1"/>
  <c r="N9" i="114"/>
  <c r="O9" i="114" s="1"/>
  <c r="P9" i="114" s="1" a="1"/>
  <c r="P9" i="114" s="1"/>
  <c r="N8" i="114"/>
  <c r="O8" i="114" s="1"/>
  <c r="P8" i="114" s="1" a="1"/>
  <c r="P8" i="114" s="1"/>
  <c r="N7" i="114"/>
  <c r="O7" i="114" s="1"/>
  <c r="P7" i="114" s="1" a="1"/>
  <c r="P7" i="114" s="1"/>
  <c r="N6" i="114"/>
  <c r="O6" i="114" s="1"/>
  <c r="P6" i="114" s="1" a="1"/>
  <c r="P6" i="114" s="1"/>
  <c r="O5" i="114"/>
  <c r="P5" i="114" s="1" a="1"/>
  <c r="P5" i="114" s="1"/>
  <c r="M3" i="114" a="1"/>
  <c r="M3" i="114" s="1"/>
  <c r="L3" i="114" a="1"/>
  <c r="L3" i="114" s="1"/>
  <c r="K3" i="114" a="1"/>
  <c r="K3" i="114" s="1"/>
  <c r="J3" i="114" a="1"/>
  <c r="J3" i="114" s="1"/>
  <c r="I3" i="114" a="1"/>
  <c r="I3" i="114" s="1"/>
  <c r="H3" i="114" a="1"/>
  <c r="H3" i="114" s="1"/>
  <c r="G3" i="114" a="1"/>
  <c r="G3" i="114" s="1"/>
  <c r="F3" i="114" a="1"/>
  <c r="F3" i="114" s="1"/>
  <c r="N5" i="114"/>
  <c r="F11" i="107"/>
  <c r="F10" i="107"/>
  <c r="F9" i="107"/>
  <c r="F8" i="107"/>
  <c r="F7" i="107"/>
  <c r="F6" i="107"/>
  <c r="F5" i="107"/>
  <c r="F4" i="107"/>
  <c r="F3" i="107"/>
  <c r="T24" i="106"/>
  <c r="S24" i="106"/>
  <c r="R24" i="106"/>
  <c r="T23" i="106"/>
  <c r="S23" i="106"/>
  <c r="R23" i="106"/>
  <c r="T22" i="106"/>
  <c r="S22" i="106"/>
  <c r="R22" i="106"/>
  <c r="T21" i="106"/>
  <c r="S21" i="106"/>
  <c r="R21" i="106"/>
  <c r="T20" i="106"/>
  <c r="S20" i="106"/>
  <c r="R20" i="106"/>
  <c r="T19" i="106"/>
  <c r="S19" i="106"/>
  <c r="R19" i="106"/>
  <c r="T18" i="106"/>
  <c r="S18" i="106"/>
  <c r="R18" i="106"/>
  <c r="T17" i="106"/>
  <c r="S17" i="106"/>
  <c r="R17" i="106"/>
  <c r="T16" i="106"/>
  <c r="S16" i="106"/>
  <c r="R16" i="106"/>
  <c r="T15" i="106"/>
  <c r="S15" i="106"/>
  <c r="R15" i="106"/>
  <c r="T14" i="106"/>
  <c r="S14" i="106"/>
  <c r="R14" i="106"/>
  <c r="T13" i="106"/>
  <c r="S13" i="106"/>
  <c r="R13" i="106"/>
  <c r="T12" i="106"/>
  <c r="S12" i="106"/>
  <c r="R12" i="106"/>
  <c r="T11" i="106"/>
  <c r="S11" i="106"/>
  <c r="R11" i="106"/>
  <c r="T10" i="106"/>
  <c r="S10" i="106"/>
  <c r="R10" i="106"/>
  <c r="T9" i="106"/>
  <c r="S9" i="106"/>
  <c r="R9" i="106"/>
  <c r="T8" i="106"/>
  <c r="S8" i="106"/>
  <c r="R8" i="106"/>
  <c r="T7" i="106"/>
  <c r="S7" i="106"/>
  <c r="R7" i="106"/>
  <c r="T6" i="106"/>
  <c r="S6" i="106"/>
  <c r="R6" i="106"/>
  <c r="T5" i="106"/>
  <c r="S5" i="106"/>
  <c r="R5" i="106"/>
  <c r="T4" i="106"/>
  <c r="S4" i="106"/>
  <c r="R4" i="106"/>
  <c r="T3" i="106"/>
  <c r="S3" i="106"/>
  <c r="R3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<sst xmlns="http://schemas.openxmlformats.org/spreadsheetml/2006/main" count="744" uniqueCount="182">
  <si>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</si>
  <si>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</si>
  <si>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</si>
  <si>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</si>
  <si>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</si>
  <si>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</si>
  <si>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</si>
  <si>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</si>
  <si>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</si>
  <si>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</si>
  <si>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</si>
  <si>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</si>
  <si>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</si>
  <si>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</si>
  <si>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</si>
  <si>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</si>
  <si>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</si>
  <si>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</si>
  <si>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</si>
  <si>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</si>
  <si>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</si>
  <si>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</si>
  <si>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</si>
  <si>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</si>
  <si>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</si>
  <si>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</si>
  <si>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</si>
  <si>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</si>
  <si>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</si>
  <si>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</si>
  <si>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</si>
  <si>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</si>
  <si>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</si>
  <si>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</si>
  <si>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</si>
  <si>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</si>
  <si>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</si>
  <si>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</si>
  <si>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</si>
  <si>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</si>
  <si>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</si>
  <si>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</si>
  <si>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</si>
  <si>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実施</t>
    <phoneticPr fontId="3"/>
  </si>
  <si>
    <t>観点3</t>
    <phoneticPr fontId="3"/>
  </si>
  <si>
    <t>配点</t>
    <phoneticPr fontId="3"/>
  </si>
  <si>
    <t>学級平均</t>
    <phoneticPr fontId="3"/>
  </si>
  <si>
    <t>思考・判断・表現</t>
    <phoneticPr fontId="3"/>
  </si>
  <si>
    <t>主体的に学習に取り組む態度</t>
    <phoneticPr fontId="3"/>
  </si>
  <si>
    <t>理科</t>
    <rPh sb="0" eb="2">
      <t>リカ</t>
    </rPh>
    <phoneticPr fontId="3"/>
  </si>
  <si>
    <t>国語</t>
  </si>
  <si>
    <t>観点</t>
    <phoneticPr fontId="3"/>
  </si>
  <si>
    <t>A</t>
    <phoneticPr fontId="3"/>
  </si>
  <si>
    <t>B</t>
    <phoneticPr fontId="3"/>
  </si>
  <si>
    <t>国語</t>
    <phoneticPr fontId="3"/>
  </si>
  <si>
    <t>知識・技能</t>
    <phoneticPr fontId="3"/>
  </si>
  <si>
    <t>算数</t>
    <phoneticPr fontId="3"/>
  </si>
  <si>
    <t>理科</t>
    <phoneticPr fontId="3"/>
  </si>
  <si>
    <t>3学期総合</t>
    <phoneticPr fontId="3"/>
  </si>
  <si>
    <t>A_x000D_
(%以上)</t>
    <phoneticPr fontId="3"/>
  </si>
  <si>
    <t>B_x000D_
(%以上)</t>
    <phoneticPr fontId="3"/>
  </si>
  <si>
    <t>C_x000D_
(%未満)</t>
    <phoneticPr fontId="3"/>
  </si>
  <si>
    <t>観点1</t>
    <phoneticPr fontId="3"/>
  </si>
  <si>
    <t>重み</t>
    <phoneticPr fontId="3"/>
  </si>
  <si>
    <t>観点2</t>
    <phoneticPr fontId="3"/>
  </si>
  <si>
    <t>あ</t>
  </si>
  <si>
    <t>採点支援ツール(エクセルマクロ）</t>
    <rPh sb="0" eb="2">
      <t>サイテン</t>
    </rPh>
    <rPh sb="2" eb="4">
      <t>シエン</t>
    </rPh>
    <phoneticPr fontId="3"/>
  </si>
  <si>
    <t>Created by H.M</t>
    <phoneticPr fontId="3"/>
  </si>
  <si>
    <t>はじめに</t>
    <phoneticPr fontId="3"/>
  </si>
  <si>
    <t>値に間違いがないか、確認しつつ使っていただきたいです。</t>
    <rPh sb="0" eb="1">
      <t>アタイ</t>
    </rPh>
    <rPh sb="2" eb="4">
      <t>マチガ</t>
    </rPh>
    <rPh sb="10" eb="12">
      <t>カクニン</t>
    </rPh>
    <rPh sb="15" eb="16">
      <t>ツカ</t>
    </rPh>
    <phoneticPr fontId="3"/>
  </si>
  <si>
    <t>このツールは、有志により作成されたもので、試作段階です。</t>
    <rPh sb="7" eb="9">
      <t>ユウシ</t>
    </rPh>
    <rPh sb="12" eb="14">
      <t>サクセイ</t>
    </rPh>
    <rPh sb="21" eb="25">
      <t>シサクダンカイ</t>
    </rPh>
    <phoneticPr fontId="3"/>
  </si>
  <si>
    <t>点数に関する処理（点数の合計値、配点の取得、ABCの評価など）のテストは一通り行っていますが</t>
    <rPh sb="0" eb="2">
      <t>テンスウ</t>
    </rPh>
    <rPh sb="3" eb="4">
      <t>カン</t>
    </rPh>
    <rPh sb="6" eb="8">
      <t>ショリ</t>
    </rPh>
    <rPh sb="9" eb="11">
      <t>テンスウ</t>
    </rPh>
    <rPh sb="12" eb="14">
      <t>ゴウケイ</t>
    </rPh>
    <rPh sb="14" eb="15">
      <t>アタイ</t>
    </rPh>
    <rPh sb="16" eb="18">
      <t>ハイテン</t>
    </rPh>
    <rPh sb="19" eb="21">
      <t>シュトク</t>
    </rPh>
    <rPh sb="26" eb="28">
      <t>ヒョウカ</t>
    </rPh>
    <rPh sb="36" eb="38">
      <t>ヒトトオ</t>
    </rPh>
    <rPh sb="39" eb="40">
      <t>オコナ</t>
    </rPh>
    <phoneticPr fontId="3"/>
  </si>
  <si>
    <t>使い方</t>
    <rPh sb="0" eb="1">
      <t>ツカ</t>
    </rPh>
    <rPh sb="2" eb="3">
      <t>カタ</t>
    </rPh>
    <phoneticPr fontId="3"/>
  </si>
  <si>
    <t>このツールには下記の機能があります。</t>
    <rPh sb="7" eb="9">
      <t>カキ</t>
    </rPh>
    <rPh sb="10" eb="12">
      <t>キノウ</t>
    </rPh>
    <phoneticPr fontId="3"/>
  </si>
  <si>
    <t>・点数入力シートの作成</t>
    <rPh sb="1" eb="5">
      <t>テンスウニュウリョク</t>
    </rPh>
    <rPh sb="9" eb="11">
      <t>サクセイ</t>
    </rPh>
    <phoneticPr fontId="3"/>
  </si>
  <si>
    <t>科目ごとに、生徒の点数を入力するシートを自動で作成します。</t>
    <rPh sb="0" eb="2">
      <t>カモク</t>
    </rPh>
    <rPh sb="6" eb="8">
      <t>セイト</t>
    </rPh>
    <rPh sb="9" eb="11">
      <t>テンスウ</t>
    </rPh>
    <rPh sb="12" eb="14">
      <t>ニュウリョク</t>
    </rPh>
    <rPh sb="20" eb="22">
      <t>ジドウ</t>
    </rPh>
    <rPh sb="23" eb="25">
      <t>サクセイ</t>
    </rPh>
    <phoneticPr fontId="3"/>
  </si>
  <si>
    <t>・ABC評価の自動計算</t>
    <rPh sb="4" eb="6">
      <t>ヒョウカ</t>
    </rPh>
    <rPh sb="7" eb="9">
      <t>ジドウ</t>
    </rPh>
    <rPh sb="9" eb="11">
      <t>ケイサン</t>
    </rPh>
    <phoneticPr fontId="3"/>
  </si>
  <si>
    <t>点数入力シートに点数を入力すると、ABCの評価を自動算出します。</t>
    <rPh sb="0" eb="4">
      <t>テンスウニュウリョク</t>
    </rPh>
    <rPh sb="8" eb="10">
      <t>テンスウ</t>
    </rPh>
    <rPh sb="11" eb="13">
      <t>ニュウリョク</t>
    </rPh>
    <rPh sb="21" eb="23">
      <t>ヒョウカ</t>
    </rPh>
    <rPh sb="24" eb="28">
      <t>ジドウサンシュツ</t>
    </rPh>
    <phoneticPr fontId="3"/>
  </si>
  <si>
    <t>またクラスの点数の平均値や、年間の成績を分析されたい場合は別途有償でご依頼ください。</t>
    <rPh sb="6" eb="8">
      <t>テンスウ</t>
    </rPh>
    <rPh sb="9" eb="11">
      <t>ヘイキン</t>
    </rPh>
    <rPh sb="11" eb="12">
      <t>アタイ</t>
    </rPh>
    <rPh sb="14" eb="16">
      <t>ネンカン</t>
    </rPh>
    <rPh sb="17" eb="19">
      <t>セイセキ</t>
    </rPh>
    <rPh sb="20" eb="22">
      <t>ブンセキ</t>
    </rPh>
    <rPh sb="26" eb="28">
      <t>バアイ</t>
    </rPh>
    <rPh sb="29" eb="31">
      <t>ベット</t>
    </rPh>
    <rPh sb="31" eb="33">
      <t>ユウショウ</t>
    </rPh>
    <rPh sb="35" eb="37">
      <t>イライ</t>
    </rPh>
    <phoneticPr fontId="3"/>
  </si>
  <si>
    <t>機能の紹介</t>
    <rPh sb="0" eb="2">
      <t>キノウ</t>
    </rPh>
    <rPh sb="3" eb="5">
      <t>ショウカイ</t>
    </rPh>
    <phoneticPr fontId="3"/>
  </si>
  <si>
    <t>3-1</t>
    <phoneticPr fontId="3"/>
  </si>
  <si>
    <t>各シートの概要</t>
  </si>
  <si>
    <t>・使い方（本シート）</t>
    <rPh sb="1" eb="2">
      <t>ツカ</t>
    </rPh>
    <rPh sb="3" eb="4">
      <t>カタ</t>
    </rPh>
    <rPh sb="5" eb="6">
      <t>ホン</t>
    </rPh>
    <phoneticPr fontId="3"/>
  </si>
  <si>
    <t>このツールには、大きく分けて下記の3種類のシートがあります。</t>
    <rPh sb="8" eb="9">
      <t>オオ</t>
    </rPh>
    <rPh sb="11" eb="12">
      <t>ワ</t>
    </rPh>
    <rPh sb="14" eb="16">
      <t>カキ</t>
    </rPh>
    <rPh sb="18" eb="20">
      <t>シュルイ</t>
    </rPh>
    <phoneticPr fontId="3"/>
  </si>
  <si>
    <t>下記の図を参考にして確認してください。</t>
    <rPh sb="0" eb="2">
      <t>カキ</t>
    </rPh>
    <rPh sb="3" eb="4">
      <t>ズ</t>
    </rPh>
    <rPh sb="5" eb="7">
      <t>サンコウ</t>
    </rPh>
    <rPh sb="10" eb="12">
      <t>カクニン</t>
    </rPh>
    <phoneticPr fontId="3"/>
  </si>
  <si>
    <t>3-2</t>
    <phoneticPr fontId="3"/>
  </si>
  <si>
    <t>設定シートについての説明</t>
    <rPh sb="0" eb="2">
      <t>セッテイ</t>
    </rPh>
    <rPh sb="10" eb="12">
      <t>セツメイ</t>
    </rPh>
    <phoneticPr fontId="3"/>
  </si>
  <si>
    <t>設定シートについて説明します。</t>
    <rPh sb="0" eb="2">
      <t>セッテイ</t>
    </rPh>
    <rPh sb="9" eb="11">
      <t>セツメイ</t>
    </rPh>
    <phoneticPr fontId="3"/>
  </si>
  <si>
    <t>・生徒氏名設定</t>
    <phoneticPr fontId="3"/>
  </si>
  <si>
    <t>山田太郎</t>
    <rPh sb="0" eb="4">
      <t>ヤマダタロウ</t>
    </rPh>
    <phoneticPr fontId="3"/>
  </si>
  <si>
    <t>山田花子</t>
    <rPh sb="0" eb="4">
      <t>ヤマダハナコ</t>
    </rPh>
    <phoneticPr fontId="3"/>
  </si>
  <si>
    <t>(イメージ：例　※赤枠の箇所）</t>
    <rPh sb="6" eb="7">
      <t>レイ</t>
    </rPh>
    <rPh sb="9" eb="11">
      <t>アカワク</t>
    </rPh>
    <rPh sb="12" eb="14">
      <t>カショ</t>
    </rPh>
    <phoneticPr fontId="3"/>
  </si>
  <si>
    <t>・評価項目設定</t>
    <phoneticPr fontId="3"/>
  </si>
  <si>
    <t>科目と、観点（現在は大きく分けて、3つと伺っております）と</t>
    <rPh sb="0" eb="2">
      <t>カモク</t>
    </rPh>
    <rPh sb="4" eb="6">
      <t>カンテン</t>
    </rPh>
    <rPh sb="7" eb="9">
      <t>ゲンザイ</t>
    </rPh>
    <rPh sb="10" eb="11">
      <t>オオ</t>
    </rPh>
    <rPh sb="13" eb="14">
      <t>ワ</t>
    </rPh>
    <rPh sb="20" eb="21">
      <t>ウカガ</t>
    </rPh>
    <phoneticPr fontId="3"/>
  </si>
  <si>
    <t>単元（科目ごとのテスト内容）を入力していただきます。</t>
    <phoneticPr fontId="3"/>
  </si>
  <si>
    <t>ここに入力した内容をもとに、【点数入力シート】を作成します。</t>
    <rPh sb="3" eb="5">
      <t>ニュウリョク</t>
    </rPh>
    <rPh sb="7" eb="9">
      <t>ナイヨウ</t>
    </rPh>
    <rPh sb="15" eb="19">
      <t>テンスウニュウリョク</t>
    </rPh>
    <rPh sb="24" eb="26">
      <t>サクセイ</t>
    </rPh>
    <phoneticPr fontId="3"/>
  </si>
  <si>
    <t>生徒の出席番号と名称を記載します。【点数入力シート】にこの内容がそのまま反映されます。</t>
    <rPh sb="0" eb="2">
      <t>セイト</t>
    </rPh>
    <rPh sb="3" eb="7">
      <t>シュッセキバンゴウ</t>
    </rPh>
    <rPh sb="8" eb="10">
      <t>メイショウ</t>
    </rPh>
    <rPh sb="11" eb="13">
      <t>キサイ</t>
    </rPh>
    <rPh sb="18" eb="20">
      <t>テンスウ</t>
    </rPh>
    <rPh sb="20" eb="22">
      <t>ニュウリョク</t>
    </rPh>
    <rPh sb="29" eb="31">
      <t>ナイヨウ</t>
    </rPh>
    <rPh sb="36" eb="38">
      <t>ハンエイ</t>
    </rPh>
    <phoneticPr fontId="3"/>
  </si>
  <si>
    <t>・設定シート　：　点数入力シートを作成するための情報を設定するシート</t>
    <rPh sb="1" eb="3">
      <t>セッテイ</t>
    </rPh>
    <rPh sb="9" eb="13">
      <t>テンスウニュウリョク</t>
    </rPh>
    <rPh sb="17" eb="19">
      <t>サクセイ</t>
    </rPh>
    <rPh sb="24" eb="26">
      <t>ジョウホウ</t>
    </rPh>
    <rPh sb="27" eb="29">
      <t>セッテイ</t>
    </rPh>
    <phoneticPr fontId="3"/>
  </si>
  <si>
    <t>・点数入力シート　：　設定シートに入力した科目ごとに、生徒の点数を入力するシートを作成します。</t>
    <rPh sb="1" eb="5">
      <t>テンスウニュウリョク</t>
    </rPh>
    <rPh sb="11" eb="13">
      <t>セッテイ</t>
    </rPh>
    <rPh sb="17" eb="19">
      <t>ニュウリョク</t>
    </rPh>
    <rPh sb="21" eb="23">
      <t>カモク</t>
    </rPh>
    <rPh sb="27" eb="29">
      <t>セイト</t>
    </rPh>
    <rPh sb="30" eb="32">
      <t>テンスウ</t>
    </rPh>
    <rPh sb="33" eb="35">
      <t>ニュウリョク</t>
    </rPh>
    <rPh sb="41" eb="43">
      <t>サクセイ</t>
    </rPh>
    <phoneticPr fontId="3"/>
  </si>
  <si>
    <t>※下記の観点順に表が作成されます。↓</t>
    <rPh sb="1" eb="3">
      <t>カキ</t>
    </rPh>
    <rPh sb="4" eb="6">
      <t>カンテン</t>
    </rPh>
    <rPh sb="6" eb="7">
      <t>ジュン</t>
    </rPh>
    <rPh sb="8" eb="9">
      <t>ヒョウ</t>
    </rPh>
    <rPh sb="10" eb="12">
      <t>サクセイ</t>
    </rPh>
    <phoneticPr fontId="3"/>
  </si>
  <si>
    <t>・その他設定</t>
    <phoneticPr fontId="3"/>
  </si>
  <si>
    <t>総合評価を記載する箇所のヘッダに表示する、学期の内容を設定できます。</t>
    <rPh sb="0" eb="4">
      <t>ソウゴウヒョウカ</t>
    </rPh>
    <rPh sb="5" eb="7">
      <t>キサイ</t>
    </rPh>
    <rPh sb="9" eb="11">
      <t>カショ</t>
    </rPh>
    <rPh sb="16" eb="18">
      <t>ヒョウジ</t>
    </rPh>
    <rPh sb="21" eb="23">
      <t>ガッキ</t>
    </rPh>
    <rPh sb="24" eb="26">
      <t>ナイヨウ</t>
    </rPh>
    <rPh sb="27" eb="29">
      <t>セッテイ</t>
    </rPh>
    <phoneticPr fontId="3"/>
  </si>
  <si>
    <t>このシートでは【点数入力シート】に記載する観点の順番と</t>
    <rPh sb="8" eb="12">
      <t>テンスウニュウリョク</t>
    </rPh>
    <rPh sb="17" eb="19">
      <t>キサイ</t>
    </rPh>
    <rPh sb="21" eb="23">
      <t>カンテン</t>
    </rPh>
    <rPh sb="24" eb="26">
      <t>ジュンバン</t>
    </rPh>
    <phoneticPr fontId="3"/>
  </si>
  <si>
    <t>また、生徒氏名・評価項目・その他の3シートで設定した内容をもとに</t>
    <rPh sb="3" eb="7">
      <t>セイトシメイ</t>
    </rPh>
    <rPh sb="8" eb="12">
      <t>ヒョウカコウモク</t>
    </rPh>
    <rPh sb="15" eb="16">
      <t>タ</t>
    </rPh>
    <rPh sb="22" eb="24">
      <t>セッテイ</t>
    </rPh>
    <rPh sb="26" eb="28">
      <t>ナイヨウ</t>
    </rPh>
    <phoneticPr fontId="3"/>
  </si>
  <si>
    <t>「点数入力シート」と、「採点基準設定シート」を作成するボタンがついています。</t>
    <rPh sb="1" eb="5">
      <t>テンスウニュウリョク</t>
    </rPh>
    <rPh sb="12" eb="16">
      <t>サイテンキジュン</t>
    </rPh>
    <rPh sb="16" eb="18">
      <t>セッテイ</t>
    </rPh>
    <rPh sb="23" eb="25">
      <t>サクセイ</t>
    </rPh>
    <phoneticPr fontId="3"/>
  </si>
  <si>
    <t>・点数入力シート作成ボタンについて</t>
    <rPh sb="1" eb="5">
      <t>テンスウニュウリョク</t>
    </rPh>
    <rPh sb="8" eb="10">
      <t>サクセイ</t>
    </rPh>
    <phoneticPr fontId="3"/>
  </si>
  <si>
    <t>クリックすると、生徒氏名・評価項目・その他の3シートの設定内容を確認します。</t>
    <rPh sb="27" eb="29">
      <t>セッテイ</t>
    </rPh>
    <rPh sb="29" eb="31">
      <t>ナイヨウ</t>
    </rPh>
    <rPh sb="32" eb="34">
      <t>カクニン</t>
    </rPh>
    <phoneticPr fontId="3"/>
  </si>
  <si>
    <t>入力内容に未入力箇所があれば、そのセルを黄色にして確認ダイアログを表示します。</t>
    <rPh sb="0" eb="2">
      <t>ニュウリョク</t>
    </rPh>
    <rPh sb="2" eb="4">
      <t>ナイヨウ</t>
    </rPh>
    <rPh sb="5" eb="8">
      <t>ミニュウリョク</t>
    </rPh>
    <rPh sb="8" eb="10">
      <t>カショ</t>
    </rPh>
    <rPh sb="20" eb="22">
      <t>キイロ</t>
    </rPh>
    <rPh sb="25" eb="27">
      <t>カクニン</t>
    </rPh>
    <rPh sb="33" eb="35">
      <t>ヒョウジ</t>
    </rPh>
    <phoneticPr fontId="3"/>
  </si>
  <si>
    <t>・未入力があった場合</t>
    <rPh sb="1" eb="4">
      <t>ミニュウリョク</t>
    </rPh>
    <rPh sb="8" eb="10">
      <t>バアイ</t>
    </rPh>
    <phoneticPr fontId="3"/>
  </si>
  <si>
    <t>・未入力が無い場合</t>
    <rPh sb="1" eb="4">
      <t>ミニュウリョク</t>
    </rPh>
    <rPh sb="5" eb="6">
      <t>ナ</t>
    </rPh>
    <rPh sb="7" eb="9">
      <t>バアイ</t>
    </rPh>
    <phoneticPr fontId="3"/>
  </si>
  <si>
    <t>未入力箇所が黄色に色付けされています。</t>
    <rPh sb="0" eb="3">
      <t>ミニュウリョク</t>
    </rPh>
    <rPh sb="3" eb="5">
      <t>カショ</t>
    </rPh>
    <rPh sb="6" eb="8">
      <t>キイロ</t>
    </rPh>
    <rPh sb="9" eb="11">
      <t>イロヅ</t>
    </rPh>
    <phoneticPr fontId="3"/>
  </si>
  <si>
    <t>シート作成を開始します。というダイアログ表示がされます。「はい」を押すことでシートを作成します。</t>
    <rPh sb="3" eb="5">
      <t>サクセイ</t>
    </rPh>
    <rPh sb="6" eb="8">
      <t>カイシ</t>
    </rPh>
    <rPh sb="20" eb="22">
      <t>ヒョウジ</t>
    </rPh>
    <rPh sb="33" eb="34">
      <t>オ</t>
    </rPh>
    <rPh sb="42" eb="44">
      <t>サクセイ</t>
    </rPh>
    <phoneticPr fontId="3"/>
  </si>
  <si>
    <t>・採点基準設定シート作成ボタンについて</t>
    <rPh sb="1" eb="7">
      <t>サイテンキジュンセッテイ</t>
    </rPh>
    <rPh sb="10" eb="12">
      <t>サクセイ</t>
    </rPh>
    <phoneticPr fontId="3"/>
  </si>
  <si>
    <t>このボタンでは、点数からABC評価を行うのに必要な科目ごとの「点数の基準」を入力する</t>
    <rPh sb="8" eb="10">
      <t>テンスウ</t>
    </rPh>
    <rPh sb="15" eb="17">
      <t>ヒョウカ</t>
    </rPh>
    <rPh sb="18" eb="19">
      <t>オコナ</t>
    </rPh>
    <rPh sb="22" eb="24">
      <t>ヒツヨウ</t>
    </rPh>
    <rPh sb="25" eb="27">
      <t>カモク</t>
    </rPh>
    <rPh sb="31" eb="33">
      <t>テンスウ</t>
    </rPh>
    <rPh sb="34" eb="36">
      <t>キジュン</t>
    </rPh>
    <rPh sb="38" eb="40">
      <t>ニュウリョク</t>
    </rPh>
    <phoneticPr fontId="3"/>
  </si>
  <si>
    <t>シートを作成します。</t>
    <rPh sb="4" eb="6">
      <t>サクセイ</t>
    </rPh>
    <phoneticPr fontId="3"/>
  </si>
  <si>
    <t>・採点基準_観点別シート</t>
    <rPh sb="1" eb="5">
      <t>サイテンキジュン</t>
    </rPh>
    <rPh sb="6" eb="9">
      <t>カンテンベツ</t>
    </rPh>
    <phoneticPr fontId="3"/>
  </si>
  <si>
    <t>このシートは、科目と観点ごとに、ABCの評価をどの点数に基づいて評価するのかを設定できます。</t>
    <rPh sb="7" eb="9">
      <t>カモク</t>
    </rPh>
    <rPh sb="10" eb="12">
      <t>カンテン</t>
    </rPh>
    <rPh sb="20" eb="22">
      <t>ヒョウカ</t>
    </rPh>
    <rPh sb="25" eb="27">
      <t>テンスウ</t>
    </rPh>
    <rPh sb="28" eb="29">
      <t>モト</t>
    </rPh>
    <rPh sb="32" eb="34">
      <t>ヒョウカ</t>
    </rPh>
    <rPh sb="39" eb="41">
      <t>セッテイ</t>
    </rPh>
    <phoneticPr fontId="3"/>
  </si>
  <si>
    <t>点数を記入する欄に点数を入力することで、各科目シートの評価が自動計算されます。</t>
    <rPh sb="0" eb="2">
      <t>テンスウ</t>
    </rPh>
    <rPh sb="3" eb="5">
      <t>キニュウ</t>
    </rPh>
    <rPh sb="7" eb="8">
      <t>ラン</t>
    </rPh>
    <rPh sb="9" eb="11">
      <t>テンスウ</t>
    </rPh>
    <rPh sb="12" eb="14">
      <t>ニュウリョク</t>
    </rPh>
    <rPh sb="20" eb="23">
      <t>カクカモク</t>
    </rPh>
    <rPh sb="27" eb="29">
      <t>ヒョウカ</t>
    </rPh>
    <rPh sb="30" eb="34">
      <t>ジドウケイサン</t>
    </rPh>
    <phoneticPr fontId="3"/>
  </si>
  <si>
    <t>※F列にうっすらと、文字がありますが、この文字を基準にして各シートの評価を</t>
    <rPh sb="2" eb="3">
      <t>レツ</t>
    </rPh>
    <rPh sb="10" eb="12">
      <t>モジ</t>
    </rPh>
    <rPh sb="21" eb="23">
      <t>モジ</t>
    </rPh>
    <rPh sb="24" eb="26">
      <t>キジュン</t>
    </rPh>
    <rPh sb="29" eb="30">
      <t>カク</t>
    </rPh>
    <rPh sb="34" eb="36">
      <t>ヒョウカ</t>
    </rPh>
    <phoneticPr fontId="3"/>
  </si>
  <si>
    <t>計算しています。表示する必要がないので、白くしていますが、絶対に消さないでください！</t>
    <rPh sb="0" eb="2">
      <t>ケイサン</t>
    </rPh>
    <rPh sb="8" eb="10">
      <t>ヒョウジ</t>
    </rPh>
    <rPh sb="12" eb="14">
      <t>ヒツヨウ</t>
    </rPh>
    <rPh sb="20" eb="21">
      <t>シロ</t>
    </rPh>
    <rPh sb="29" eb="31">
      <t>ゼッタイ</t>
    </rPh>
    <rPh sb="32" eb="33">
      <t>ケ</t>
    </rPh>
    <phoneticPr fontId="3"/>
  </si>
  <si>
    <t>数式も、再生成することで、復活しますが、不具合になる可能性があります！</t>
    <rPh sb="0" eb="2">
      <t>スウシキ</t>
    </rPh>
    <rPh sb="4" eb="7">
      <t>サイセイセイ</t>
    </rPh>
    <rPh sb="13" eb="15">
      <t>フッカツ</t>
    </rPh>
    <rPh sb="20" eb="23">
      <t>フグアイ</t>
    </rPh>
    <rPh sb="26" eb="29">
      <t>カノウセイ</t>
    </rPh>
    <phoneticPr fontId="3"/>
  </si>
  <si>
    <t>このシートでは、各科目の単元ごとの、配点や評価を設定できます。</t>
    <rPh sb="8" eb="11">
      <t>カクカモク</t>
    </rPh>
    <rPh sb="12" eb="14">
      <t>タンゲン</t>
    </rPh>
    <rPh sb="18" eb="20">
      <t>ハイテン</t>
    </rPh>
    <rPh sb="21" eb="23">
      <t>ヒョウカ</t>
    </rPh>
    <rPh sb="24" eb="26">
      <t>セッテイ</t>
    </rPh>
    <phoneticPr fontId="3"/>
  </si>
  <si>
    <t>※このシートも、観点別と同様に、※R列にうっすらと、文字がありますが</t>
    <rPh sb="8" eb="11">
      <t>カンテンベツ</t>
    </rPh>
    <rPh sb="12" eb="14">
      <t>ドウヨウ</t>
    </rPh>
    <rPh sb="18" eb="19">
      <t>レツ</t>
    </rPh>
    <rPh sb="26" eb="28">
      <t>モジ</t>
    </rPh>
    <phoneticPr fontId="3"/>
  </si>
  <si>
    <t>この文字を基準にして各シートの評価を計算しています。</t>
    <rPh sb="18" eb="20">
      <t>ケイサン</t>
    </rPh>
    <phoneticPr fontId="3"/>
  </si>
  <si>
    <t>表示する必要がないので、白くしていますが、絶対に消さないでください！</t>
  </si>
  <si>
    <t>観点の到達率を計算する際に、配点の合計値が必要なので、このシートから計算をしています。</t>
    <rPh sb="0" eb="2">
      <t>カンテン</t>
    </rPh>
    <rPh sb="3" eb="6">
      <t>トウタツリツ</t>
    </rPh>
    <rPh sb="7" eb="9">
      <t>ケイサン</t>
    </rPh>
    <rPh sb="11" eb="12">
      <t>サイ</t>
    </rPh>
    <rPh sb="14" eb="16">
      <t>ハイテン</t>
    </rPh>
    <rPh sb="17" eb="20">
      <t>ゴウケイチ</t>
    </rPh>
    <rPh sb="21" eb="23">
      <t>ヒツヨウ</t>
    </rPh>
    <rPh sb="34" eb="36">
      <t>ケイサン</t>
    </rPh>
    <phoneticPr fontId="3"/>
  </si>
  <si>
    <t>・採点基準_単元別について</t>
    <rPh sb="1" eb="5">
      <t>サイテンキジュン</t>
    </rPh>
    <rPh sb="6" eb="8">
      <t>タンゲン</t>
    </rPh>
    <rPh sb="8" eb="9">
      <t>ベツ</t>
    </rPh>
    <phoneticPr fontId="3"/>
  </si>
  <si>
    <t>3-3</t>
    <phoneticPr fontId="3"/>
  </si>
  <si>
    <t>・未入力チェックが反応しない場合。</t>
    <rPh sb="1" eb="4">
      <t>ミニュウリョク</t>
    </rPh>
    <rPh sb="9" eb="11">
      <t>ハンノウ</t>
    </rPh>
    <rPh sb="14" eb="16">
      <t>バアイ</t>
    </rPh>
    <phoneticPr fontId="3"/>
  </si>
  <si>
    <t>このマクロでは、入力された設定値の範囲内に、空白があるとそれを</t>
    <rPh sb="8" eb="10">
      <t>ニュウリョク</t>
    </rPh>
    <rPh sb="13" eb="16">
      <t>セッテイチ</t>
    </rPh>
    <rPh sb="17" eb="20">
      <t>ハンイナイ</t>
    </rPh>
    <rPh sb="22" eb="24">
      <t>クウハク</t>
    </rPh>
    <phoneticPr fontId="3"/>
  </si>
  <si>
    <t>チェックしますが、【出席番号】と【科目】が、末尾まで入力されていないと</t>
    <rPh sb="10" eb="12">
      <t>シュッセキ</t>
    </rPh>
    <rPh sb="12" eb="14">
      <t>バンゴウ</t>
    </rPh>
    <rPh sb="17" eb="19">
      <t>カモク</t>
    </rPh>
    <rPh sb="22" eb="24">
      <t>マツビ</t>
    </rPh>
    <rPh sb="26" eb="28">
      <t>ニュウリョク</t>
    </rPh>
    <phoneticPr fontId="3"/>
  </si>
  <si>
    <t>未入力を検知しない場合があります。</t>
    <rPh sb="0" eb="3">
      <t>ミニュウリョク</t>
    </rPh>
    <rPh sb="4" eb="6">
      <t>ケンチ</t>
    </rPh>
    <rPh sb="9" eb="11">
      <t>バアイ</t>
    </rPh>
    <phoneticPr fontId="3"/>
  </si>
  <si>
    <t>下記がその例です。</t>
    <rPh sb="0" eb="2">
      <t>カキ</t>
    </rPh>
    <rPh sb="5" eb="6">
      <t>レイ</t>
    </rPh>
    <phoneticPr fontId="3"/>
  </si>
  <si>
    <t>記載した、項目には値が正しく入力されているかチェックをしてください。</t>
    <rPh sb="0" eb="2">
      <t>キサイ</t>
    </rPh>
    <rPh sb="5" eb="7">
      <t>コウモク</t>
    </rPh>
    <rPh sb="9" eb="10">
      <t>アタイ</t>
    </rPh>
    <rPh sb="11" eb="12">
      <t>タダ</t>
    </rPh>
    <rPh sb="14" eb="16">
      <t>ニュウリョク</t>
    </rPh>
    <phoneticPr fontId="3"/>
  </si>
  <si>
    <t>算数</t>
  </si>
  <si>
    <t>・数式が破損する場合</t>
    <rPh sb="1" eb="3">
      <t>スウシキ</t>
    </rPh>
    <rPh sb="4" eb="6">
      <t>ハソン</t>
    </rPh>
    <rPh sb="8" eb="10">
      <t>バアイ</t>
    </rPh>
    <phoneticPr fontId="3"/>
  </si>
  <si>
    <t>単元を追加したり、削除したときに、その単元一つ一つを数式で、判定しているため</t>
    <rPh sb="0" eb="2">
      <t>タンゲン</t>
    </rPh>
    <rPh sb="3" eb="5">
      <t>ツイカ</t>
    </rPh>
    <rPh sb="9" eb="11">
      <t>サクジョ</t>
    </rPh>
    <rPh sb="19" eb="21">
      <t>タンゲン</t>
    </rPh>
    <rPh sb="21" eb="22">
      <t>ヒト</t>
    </rPh>
    <rPh sb="23" eb="24">
      <t>ヒト</t>
    </rPh>
    <rPh sb="26" eb="28">
      <t>スウシキ</t>
    </rPh>
    <rPh sb="30" eb="32">
      <t>ハンテイ</t>
    </rPh>
    <phoneticPr fontId="3"/>
  </si>
  <si>
    <t>場合によっては、列がずれることにより、数式がその値を判別しに行くことができなくなることがあります。</t>
    <rPh sb="0" eb="2">
      <t>バアイ</t>
    </rPh>
    <rPh sb="8" eb="9">
      <t>レツ</t>
    </rPh>
    <rPh sb="19" eb="21">
      <t>スウシキ</t>
    </rPh>
    <rPh sb="24" eb="25">
      <t>アタイ</t>
    </rPh>
    <rPh sb="26" eb="28">
      <t>ハンベツ</t>
    </rPh>
    <rPh sb="30" eb="31">
      <t>イ</t>
    </rPh>
    <phoneticPr fontId="3"/>
  </si>
  <si>
    <t>※Referenceエラーといいます。</t>
    <phoneticPr fontId="3"/>
  </si>
  <si>
    <t>注意事項、エラーが起きたときの対処法について</t>
    <rPh sb="0" eb="4">
      <t>チュウイジコウ</t>
    </rPh>
    <rPh sb="9" eb="10">
      <t>オ</t>
    </rPh>
    <rPh sb="15" eb="18">
      <t>タイショホウ</t>
    </rPh>
    <phoneticPr fontId="3"/>
  </si>
  <si>
    <t>この場合、点数入力シートの左上に</t>
    <rPh sb="2" eb="4">
      <t>バアイ</t>
    </rPh>
    <rPh sb="5" eb="9">
      <t>テンスウニュウリョク</t>
    </rPh>
    <rPh sb="13" eb="15">
      <t>ヒダリウエ</t>
    </rPh>
    <phoneticPr fontId="3"/>
  </si>
  <si>
    <r>
      <t>【数式修正】というボタンがあるので、これを実行していただくと</t>
    </r>
    <r>
      <rPr>
        <b/>
        <sz val="11"/>
        <color theme="1"/>
        <rFont val="BIZ UDゴシック"/>
        <family val="3"/>
        <charset val="128"/>
      </rPr>
      <t>数式の範囲を修正して</t>
    </r>
    <rPh sb="1" eb="5">
      <t>スウシキシュウセイ</t>
    </rPh>
    <rPh sb="21" eb="23">
      <t>ジッコウ</t>
    </rPh>
    <rPh sb="30" eb="32">
      <t>スウシキ</t>
    </rPh>
    <rPh sb="33" eb="35">
      <t>ハンイ</t>
    </rPh>
    <rPh sb="36" eb="38">
      <t>シュウセイ</t>
    </rPh>
    <phoneticPr fontId="3"/>
  </si>
  <si>
    <r>
      <rPr>
        <b/>
        <sz val="11"/>
        <color theme="1"/>
        <rFont val="BIZ UDゴシック"/>
        <family val="3"/>
        <charset val="128"/>
      </rPr>
      <t>再生成</t>
    </r>
    <r>
      <rPr>
        <sz val="11"/>
        <color theme="1"/>
        <rFont val="BIZ UDゴシック"/>
        <family val="3"/>
        <charset val="128"/>
      </rPr>
      <t>するので、このボタンを押すようにしてください。</t>
    </r>
    <rPh sb="0" eb="3">
      <t>サイセイセイ</t>
    </rPh>
    <rPh sb="14" eb="15">
      <t>オ</t>
    </rPh>
    <phoneticPr fontId="3"/>
  </si>
  <si>
    <t>１.単元を追加したいシートをクリックします。</t>
    <rPh sb="2" eb="4">
      <t>タンゲン</t>
    </rPh>
    <rPh sb="5" eb="7">
      <t>ツイカ</t>
    </rPh>
    <phoneticPr fontId="3"/>
  </si>
  <si>
    <t>２.点数入力シートの左上にある、「単元追加」をクリックします。</t>
    <rPh sb="2" eb="6">
      <t>テンスウニュウリョク</t>
    </rPh>
    <rPh sb="10" eb="12">
      <t>ヒダリウエ</t>
    </rPh>
    <rPh sb="17" eb="21">
      <t>タンゲンツイカ</t>
    </rPh>
    <phoneticPr fontId="3"/>
  </si>
  <si>
    <t>3.フォーム画面が表示されます。</t>
    <rPh sb="6" eb="8">
      <t>ガメン</t>
    </rPh>
    <rPh sb="9" eb="11">
      <t>ヒョウジ</t>
    </rPh>
    <phoneticPr fontId="3"/>
  </si>
  <si>
    <t>4.科目（初期値あり）、観点をプルダウンから選択します。</t>
    <rPh sb="2" eb="4">
      <t>カモク</t>
    </rPh>
    <rPh sb="5" eb="8">
      <t>ショキチ</t>
    </rPh>
    <rPh sb="12" eb="14">
      <t>カンテン</t>
    </rPh>
    <rPh sb="22" eb="24">
      <t>センタク</t>
    </rPh>
    <phoneticPr fontId="3"/>
  </si>
  <si>
    <t>5.追加したい単元を入力欄に入力します。</t>
    <rPh sb="2" eb="4">
      <t>ツイカ</t>
    </rPh>
    <rPh sb="7" eb="9">
      <t>タンゲン</t>
    </rPh>
    <rPh sb="10" eb="12">
      <t>ニュウリョク</t>
    </rPh>
    <rPh sb="12" eb="13">
      <t>ラン</t>
    </rPh>
    <rPh sb="14" eb="16">
      <t>ニュウリョク</t>
    </rPh>
    <phoneticPr fontId="3"/>
  </si>
  <si>
    <t>追加テスト</t>
  </si>
  <si>
    <t>7.単元が、指定した観点のセクションに追加されます。</t>
    <rPh sb="2" eb="4">
      <t>タンゲン</t>
    </rPh>
    <rPh sb="6" eb="8">
      <t>シテイ</t>
    </rPh>
    <rPh sb="10" eb="12">
      <t>カンテン</t>
    </rPh>
    <rPh sb="19" eb="21">
      <t>ツイカ</t>
    </rPh>
    <phoneticPr fontId="3"/>
  </si>
  <si>
    <t>項目を追加する仕様になっているからです。</t>
    <rPh sb="0" eb="2">
      <t>コウモク</t>
    </rPh>
    <rPh sb="3" eb="5">
      <t>ツイカ</t>
    </rPh>
    <rPh sb="7" eb="9">
      <t>シヨウ</t>
    </rPh>
    <phoneticPr fontId="3"/>
  </si>
  <si>
    <t>※観点を指定する必要がある理由は、点数入力シートの【観点ごとの区画】の末尾に</t>
    <rPh sb="1" eb="3">
      <t>カンテン</t>
    </rPh>
    <rPh sb="4" eb="6">
      <t>シテイ</t>
    </rPh>
    <rPh sb="8" eb="10">
      <t>ヒツヨウ</t>
    </rPh>
    <rPh sb="13" eb="15">
      <t>リユウ</t>
    </rPh>
    <rPh sb="17" eb="21">
      <t>テンスウニュウリョク</t>
    </rPh>
    <rPh sb="26" eb="28">
      <t>カンテン</t>
    </rPh>
    <rPh sb="31" eb="33">
      <t>クカク</t>
    </rPh>
    <rPh sb="35" eb="37">
      <t>マツビ</t>
    </rPh>
    <phoneticPr fontId="3"/>
  </si>
  <si>
    <t>点数入力シートの【観点ごとの区画】の末尾に、記入した項目を追加することができます。</t>
    <rPh sb="22" eb="24">
      <t>キニュウ</t>
    </rPh>
    <rPh sb="26" eb="28">
      <t>コウモク</t>
    </rPh>
    <rPh sb="29" eb="31">
      <t>ツイカ</t>
    </rPh>
    <phoneticPr fontId="3"/>
  </si>
  <si>
    <t>a</t>
  </si>
  <si>
    <t>配点</t>
  </si>
  <si>
    <t>x</t>
    <phoneticPr fontId="3"/>
  </si>
  <si>
    <t>y</t>
  </si>
  <si>
    <t>y</t>
    <phoneticPr fontId="3"/>
  </si>
  <si>
    <t>う</t>
    <phoneticPr fontId="3"/>
  </si>
  <si>
    <t>学級平均</t>
  </si>
  <si>
    <t>6.追加をクリックします。ダイアログが表示されるのでハイをおすと、項目が追加されます。</t>
    <rPh sb="2" eb="4">
      <t>ツイカ</t>
    </rPh>
    <rPh sb="19" eb="21">
      <t>ヒョウジ</t>
    </rPh>
    <rPh sb="33" eb="35">
      <t>コウモク</t>
    </rPh>
    <rPh sb="36" eb="38">
      <t>ツイカ</t>
    </rPh>
    <phoneticPr fontId="3"/>
  </si>
  <si>
    <t>単元を途中で追加したい場合</t>
    <rPh sb="0" eb="2">
      <t>タンゲン</t>
    </rPh>
    <rPh sb="3" eb="5">
      <t>トチュウ</t>
    </rPh>
    <rPh sb="6" eb="8">
      <t>ツイカ</t>
    </rPh>
    <rPh sb="11" eb="13">
      <t>バアイ</t>
    </rPh>
    <phoneticPr fontId="3"/>
  </si>
  <si>
    <t>・</t>
    <phoneticPr fontId="3"/>
  </si>
  <si>
    <t>何度も繰り返し使っている間に、値がおかしくなってしまったら</t>
    <rPh sb="0" eb="2">
      <t>ナンド</t>
    </rPh>
    <rPh sb="3" eb="4">
      <t>ク</t>
    </rPh>
    <rPh sb="5" eb="6">
      <t>カエ</t>
    </rPh>
    <rPh sb="7" eb="8">
      <t>ツカ</t>
    </rPh>
    <rPh sb="12" eb="13">
      <t>アイダ</t>
    </rPh>
    <rPh sb="15" eb="16">
      <t>アタイ</t>
    </rPh>
    <phoneticPr fontId="3"/>
  </si>
  <si>
    <t>下記は一例ですが、出席番号が上に飛び出してしまったり、配点の欄に、観点評価のAが出てしまったり</t>
    <rPh sb="0" eb="2">
      <t>カキ</t>
    </rPh>
    <rPh sb="3" eb="5">
      <t>イチレイ</t>
    </rPh>
    <rPh sb="9" eb="13">
      <t>シュッセキバンゴウ</t>
    </rPh>
    <rPh sb="14" eb="15">
      <t>ウエ</t>
    </rPh>
    <rPh sb="16" eb="17">
      <t>ト</t>
    </rPh>
    <rPh sb="18" eb="19">
      <t>ダ</t>
    </rPh>
    <rPh sb="27" eb="29">
      <t>ハイテン</t>
    </rPh>
    <rPh sb="30" eb="31">
      <t>ラン</t>
    </rPh>
    <rPh sb="33" eb="37">
      <t>カンテンヒョウカ</t>
    </rPh>
    <rPh sb="40" eb="41">
      <t>デ</t>
    </rPh>
    <phoneticPr fontId="3"/>
  </si>
  <si>
    <t>プログラムを何度も実行していると、処理のタイミングによっては、不具合につながることがあります。</t>
    <rPh sb="6" eb="8">
      <t>ナンド</t>
    </rPh>
    <rPh sb="9" eb="11">
      <t>ジッコウ</t>
    </rPh>
    <rPh sb="17" eb="19">
      <t>ショリ</t>
    </rPh>
    <rPh sb="31" eb="34">
      <t>フグアイ</t>
    </rPh>
    <phoneticPr fontId="3"/>
  </si>
  <si>
    <t>（処理が重たくて途中で落ちてしまう→再実行→途中まで作りかけてたところに</t>
    <rPh sb="1" eb="3">
      <t>ショリ</t>
    </rPh>
    <rPh sb="4" eb="5">
      <t>オモ</t>
    </rPh>
    <rPh sb="8" eb="10">
      <t>トチュウ</t>
    </rPh>
    <rPh sb="11" eb="12">
      <t>オ</t>
    </rPh>
    <rPh sb="18" eb="21">
      <t>サイジッコウ</t>
    </rPh>
    <rPh sb="22" eb="24">
      <t>トチュウ</t>
    </rPh>
    <rPh sb="26" eb="27">
      <t>ツク</t>
    </rPh>
    <phoneticPr fontId="3"/>
  </si>
  <si>
    <t>処理が上書きされて、想定されていない動きで壊れる等）</t>
    <rPh sb="24" eb="25">
      <t>ナド</t>
    </rPh>
    <phoneticPr fontId="3"/>
  </si>
  <si>
    <t>不具合の例→</t>
    <rPh sb="0" eb="3">
      <t>フグアイ</t>
    </rPh>
    <rPh sb="4" eb="5">
      <t>レイ</t>
    </rPh>
    <phoneticPr fontId="3"/>
  </si>
  <si>
    <t>もしそういったことがあれば、その状態のエクセルを、別名にして保存して</t>
    <rPh sb="16" eb="18">
      <t>ジョウタイ</t>
    </rPh>
    <rPh sb="25" eb="27">
      <t>ベツメイ</t>
    </rPh>
    <rPh sb="30" eb="32">
      <t>ホゾン</t>
    </rPh>
    <phoneticPr fontId="3"/>
  </si>
  <si>
    <t>どんな状況で、どんな操作をして、どんな入力をして不具合になったか</t>
    <rPh sb="3" eb="5">
      <t>ジョウキョウ</t>
    </rPh>
    <rPh sb="10" eb="12">
      <t>ソウサ</t>
    </rPh>
    <rPh sb="19" eb="21">
      <t>ニュウリョク</t>
    </rPh>
    <rPh sb="24" eb="27">
      <t>フグアイ</t>
    </rPh>
    <phoneticPr fontId="3"/>
  </si>
  <si>
    <t>教えていただきたいです（改善が可能であれば、行っていきたいです。）</t>
    <rPh sb="0" eb="1">
      <t>オシ</t>
    </rPh>
    <rPh sb="12" eb="14">
      <t>カイゼン</t>
    </rPh>
    <rPh sb="15" eb="17">
      <t>カノウ</t>
    </rPh>
    <rPh sb="22" eb="23">
      <t>オコナ</t>
    </rPh>
    <phoneticPr fontId="3"/>
  </si>
  <si>
    <t>そして「点数入力シートをすべて削除」してから、シートを再作成してください。</t>
    <rPh sb="4" eb="8">
      <t>テンスウニュウリョク</t>
    </rPh>
    <rPh sb="15" eb="17">
      <t>サクジョ</t>
    </rPh>
    <rPh sb="27" eb="30">
      <t>サイサクセイ</t>
    </rPh>
    <phoneticPr fontId="3"/>
  </si>
  <si>
    <r>
      <t>・入力中の</t>
    </r>
    <r>
      <rPr>
        <sz val="11"/>
        <color rgb="FFFF0000"/>
        <rFont val="BIZ UDゴシック"/>
        <family val="3"/>
        <charset val="128"/>
      </rPr>
      <t>シートをコピーして保存</t>
    </r>
    <rPh sb="1" eb="4">
      <t>ニュウリョクチュウ</t>
    </rPh>
    <rPh sb="14" eb="16">
      <t>ホゾン</t>
    </rPh>
    <phoneticPr fontId="3"/>
  </si>
  <si>
    <r>
      <t>・エクセルをバックアップ（</t>
    </r>
    <r>
      <rPr>
        <b/>
        <sz val="11"/>
        <color rgb="FFFF0000"/>
        <rFont val="BIZ UDゴシック"/>
        <family val="3"/>
        <charset val="128"/>
      </rPr>
      <t>別のところに一旦エクセルを複製）</t>
    </r>
    <rPh sb="13" eb="14">
      <t>ベツ</t>
    </rPh>
    <rPh sb="19" eb="21">
      <t>イッタン</t>
    </rPh>
    <rPh sb="26" eb="28">
      <t>フクセイ</t>
    </rPh>
    <phoneticPr fontId="3"/>
  </si>
  <si>
    <t>またこういうことになってしまったときは、下記のどちらでもいいので行ってください。</t>
    <rPh sb="20" eb="22">
      <t>カキ</t>
    </rPh>
    <rPh sb="32" eb="33">
      <t>オコナ</t>
    </rPh>
    <phoneticPr fontId="3"/>
  </si>
  <si>
    <t>つまり、</t>
    <phoneticPr fontId="3"/>
  </si>
  <si>
    <t>１，いったん入力した、点数の内容を、別のところにメモしておいて</t>
    <phoneticPr fontId="3"/>
  </si>
  <si>
    <t>２，入力シートを再作成し</t>
    <phoneticPr fontId="3"/>
  </si>
  <si>
    <t>３，メモしておいた点数を、再作成したシートに、また張り付ければ</t>
    <rPh sb="9" eb="11">
      <t>テンスウ</t>
    </rPh>
    <rPh sb="13" eb="16">
      <t>サイサクセイ</t>
    </rPh>
    <rPh sb="24" eb="25">
      <t>ハ</t>
    </rPh>
    <rPh sb="26" eb="27">
      <t>ツ</t>
    </rPh>
    <phoneticPr fontId="3"/>
  </si>
  <si>
    <t>復旧ができるという形です。</t>
    <rPh sb="0" eb="2">
      <t>フッキュウ</t>
    </rPh>
    <rPh sb="9" eb="10">
      <t>カタチ</t>
    </rPh>
    <phoneticPr fontId="3"/>
  </si>
  <si>
    <t>大変ご迷惑をおかけするかもしれませんが、よろしくお願いいたします。</t>
    <rPh sb="0" eb="2">
      <t>タイヘン</t>
    </rPh>
    <rPh sb="3" eb="5">
      <t>メイワク</t>
    </rPh>
    <rPh sb="25" eb="26">
      <t>ネガ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</si>
</sst>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b/>
      <sz val="15"/>
      <color theme="3"/>
      <name val="游ゴシック"/>
      <family val="2"/>
      <charset val="128"/>
      <scheme val="minor"/>
    </font>
    <font>
      <b/>
      <sz val="15"/>
      <color theme="3"/>
      <name val="BIZ UDゴシック"/>
      <family val="3"/>
      <charset val="128"/>
    </font>
    <font>
      <b/>
      <sz val="11"/>
      <color rgb="FFFF0000"/>
      <name val="BIZ UDゴシック"/>
      <family val="3"/>
      <charset val="128"/>
    </font>
    <font>
      <sz val="11"/>
      <color rgb="FFFF0000"/>
      <name val="BIZ UD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rgb="FF0075CC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13" borderId="10" applyNumberFormat="0" applyFont="0" applyAlignment="0" applyProtection="0">
      <alignment vertical="center"/>
    </xf>
    <xf numFmtId="0" fontId="17" fillId="0" borderId="14" applyNumberFormat="0" applyFill="0" applyAlignment="0" applyProtection="0">
      <alignment vertical="center"/>
    </xf>
  </cellStyleXfs>
  <cellXfs count="6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0" fillId="9" borderId="9" xfId="0" applyFont="1" applyFill="1" applyBorder="1">
      <alignment vertical="center"/>
    </xf>
    <xf numFmtId="0" fontId="13" fillId="7" borderId="3" xfId="0" applyFont="1" applyFill="1" applyBorder="1" applyAlignment="1">
      <alignment vertical="center" textRotation="255"/>
    </xf>
    <xf numFmtId="0" fontId="14" fillId="0" borderId="0" xfId="0" applyFont="1">
      <alignment vertical="center"/>
    </xf>
    <xf numFmtId="0" fontId="16" fillId="13" borderId="10" xfId="4" applyFont="1">
      <alignment vertical="center"/>
    </xf>
    <xf numFmtId="0" fontId="10" fillId="13" borderId="10" xfId="4" applyFont="1">
      <alignment vertical="center"/>
    </xf>
    <xf numFmtId="0" fontId="11" fillId="11" borderId="13" xfId="3" applyFont="1" applyFill="1" applyBorder="1" applyAlignment="1">
      <alignment horizontal="right"/>
    </xf>
    <xf numFmtId="0" fontId="11" fillId="11" borderId="0" xfId="3" applyFont="1" applyFill="1" applyBorder="1" applyAlignment="1">
      <alignment vertical="top"/>
    </xf>
    <xf numFmtId="0" fontId="10" fillId="8" borderId="3" xfId="0" applyFont="1" applyFill="1" applyBorder="1">
      <alignment vertical="center"/>
    </xf>
    <xf numFmtId="0" fontId="10" fillId="8" borderId="4" xfId="0" applyFont="1" applyFill="1" applyBorder="1">
      <alignment vertical="center"/>
    </xf>
    <xf numFmtId="0" fontId="18" fillId="0" borderId="14" xfId="5" applyFont="1">
      <alignment vertical="center"/>
    </xf>
    <xf numFmtId="0" fontId="18" fillId="0" borderId="14" xfId="5" applyFont="1" applyAlignment="1">
      <alignment horizontal="right" vertical="center"/>
    </xf>
    <xf numFmtId="0" fontId="16" fillId="0" borderId="0" xfId="0" applyFont="1">
      <alignment vertical="center"/>
    </xf>
    <xf numFmtId="56" fontId="14" fillId="0" borderId="0" xfId="0" quotePrefix="1" applyNumberFormat="1" applyFont="1">
      <alignment vertical="center"/>
    </xf>
    <xf numFmtId="0" fontId="19" fillId="0" borderId="0" xfId="0" applyFont="1">
      <alignment vertical="center"/>
    </xf>
    <xf numFmtId="0" fontId="14" fillId="0" borderId="0" xfId="0" quotePrefix="1" applyFont="1">
      <alignment vertical="center"/>
    </xf>
    <xf numFmtId="0" fontId="10" fillId="9" borderId="0" xfId="0" applyFont="1" applyFill="1">
      <alignment vertical="center"/>
    </xf>
    <xf numFmtId="0" fontId="10" fillId="7" borderId="5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Fill="1" applyBorder="1">
      <alignment vertical="center"/>
    </xf>
    <xf numFmtId="0" fontId="12" fillId="0" borderId="0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 applyAlignment="1">
      <alignment vertical="center" wrapText="1"/>
    </xf>
    <xf numFmtId="0" fontId="15" fillId="0" borderId="0" xfId="0" applyFont="1" applyFill="1" applyBorder="1">
      <alignment vertical="center"/>
    </xf>
    <xf numFmtId="0" fontId="10" fillId="15" borderId="6" xfId="0" applyFont="1" applyFill="1" applyBorder="1">
      <alignment vertical="center"/>
    </xf>
    <xf numFmtId="0" fontId="10" fillId="9" borderId="0" xfId="0" applyFont="1" applyFill="1" applyBorder="1">
      <alignment vertical="center"/>
    </xf>
    <xf numFmtId="0" fontId="10" fillId="9" borderId="15" xfId="0" applyFont="1" applyFill="1" applyBorder="1">
      <alignment vertical="center"/>
    </xf>
  </cellXfs>
  <cellStyles count="6">
    <cellStyle name="40% - アクセント 3" xfId="2" builtinId="39"/>
    <cellStyle name="チェック セル" xfId="3" builtinId="23"/>
    <cellStyle name="メモ" xfId="4" builtinId="10"/>
    <cellStyle name="見出し 1" xfId="5" builtinId="16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43661C"/>
      <color rgb="FF008FFA"/>
      <color rgb="FFC37637"/>
      <color rgb="FFE07CCD"/>
      <color rgb="FF674DD3"/>
      <color rgb="FF0075CC"/>
      <color rgb="FFE78575"/>
      <color rgb="FFFACFBC"/>
      <color rgb="FFD7A073"/>
      <color rgb="FFFC7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60</xdr:row>
      <xdr:rowOff>152400</xdr:rowOff>
    </xdr:from>
    <xdr:to>
      <xdr:col>14</xdr:col>
      <xdr:colOff>503737</xdr:colOff>
      <xdr:row>70</xdr:row>
      <xdr:rowOff>104623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42097" y="10654748"/>
          <a:ext cx="8285662" cy="1691571"/>
          <a:chOff x="419100" y="5876925"/>
          <a:chExt cx="8704762" cy="1666723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419100" y="6267450"/>
            <a:ext cx="8704762" cy="1276198"/>
            <a:chOff x="523875" y="4867275"/>
            <a:chExt cx="8704762" cy="1276198"/>
          </a:xfrm>
        </xdr:grpSpPr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23875" y="4924425"/>
              <a:ext cx="8704762" cy="1219048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3" name="左中かっこ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5400000">
              <a:off x="3616837" y="2459463"/>
              <a:ext cx="566649" cy="5382274"/>
            </a:xfrm>
            <a:prstGeom prst="leftBrace">
              <a:avLst>
                <a:gd name="adj1" fmla="val 45382"/>
                <a:gd name="adj2" fmla="val 51253"/>
              </a:avLst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6" name="左中かっこ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010075" y="5829625"/>
            <a:ext cx="553099" cy="1409700"/>
          </a:xfrm>
          <a:prstGeom prst="leftBrace">
            <a:avLst>
              <a:gd name="adj1" fmla="val 45382"/>
              <a:gd name="adj2" fmla="val 51253"/>
            </a:avLst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276600" y="5876925"/>
            <a:ext cx="933784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設定シート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607253" y="5895975"/>
            <a:ext cx="1404441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点数入力シート</a:t>
            </a:r>
          </a:p>
        </xdr:txBody>
      </xdr:sp>
    </xdr:grpSp>
    <xdr:clientData/>
  </xdr:twoCellAnchor>
  <xdr:twoCellAnchor>
    <xdr:from>
      <xdr:col>2</xdr:col>
      <xdr:colOff>47625</xdr:colOff>
      <xdr:row>21</xdr:row>
      <xdr:rowOff>57150</xdr:rowOff>
    </xdr:from>
    <xdr:to>
      <xdr:col>9</xdr:col>
      <xdr:colOff>456604</xdr:colOff>
      <xdr:row>44</xdr:row>
      <xdr:rowOff>85725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61147" y="3776041"/>
          <a:ext cx="4782196" cy="4029075"/>
          <a:chOff x="209550" y="3724275"/>
          <a:chExt cx="4771429" cy="3809524"/>
        </a:xfrm>
      </xdr:grpSpPr>
      <xdr:pic>
        <xdr:nvPicPr>
          <xdr:cNvPr id="12" name="図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9550" y="3724275"/>
            <a:ext cx="4771429" cy="3809524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28925" y="5619750"/>
            <a:ext cx="1924050" cy="1905000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244848</xdr:colOff>
      <xdr:row>81</xdr:row>
      <xdr:rowOff>44824</xdr:rowOff>
    </xdr:from>
    <xdr:to>
      <xdr:col>9</xdr:col>
      <xdr:colOff>512669</xdr:colOff>
      <xdr:row>106</xdr:row>
      <xdr:rowOff>131994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19" y="14063383"/>
          <a:ext cx="4615703" cy="46255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11205</xdr:colOff>
      <xdr:row>110</xdr:row>
      <xdr:rowOff>44822</xdr:rowOff>
    </xdr:from>
    <xdr:to>
      <xdr:col>9</xdr:col>
      <xdr:colOff>85910</xdr:colOff>
      <xdr:row>136</xdr:row>
      <xdr:rowOff>156881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205" y="13391028"/>
          <a:ext cx="4176058" cy="44823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146</xdr:row>
      <xdr:rowOff>113180</xdr:rowOff>
    </xdr:from>
    <xdr:to>
      <xdr:col>15</xdr:col>
      <xdr:colOff>560876</xdr:colOff>
      <xdr:row>164</xdr:row>
      <xdr:rowOff>150888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5611605"/>
          <a:ext cx="8790476" cy="31238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56029</xdr:colOff>
      <xdr:row>83</xdr:row>
      <xdr:rowOff>156883</xdr:rowOff>
    </xdr:from>
    <xdr:to>
      <xdr:col>22</xdr:col>
      <xdr:colOff>593911</xdr:colOff>
      <xdr:row>136</xdr:row>
      <xdr:rowOff>78440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18029" y="14659731"/>
          <a:ext cx="13599556" cy="9438274"/>
          <a:chOff x="818029" y="2208682"/>
          <a:chExt cx="13525500" cy="21137060"/>
        </a:xfrm>
      </xdr:grpSpPr>
      <xdr:pic>
        <xdr:nvPicPr>
          <xdr:cNvPr id="18" name="図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641290" y="10830723"/>
            <a:ext cx="6702239" cy="10706873"/>
          </a:xfrm>
          <a:prstGeom prst="rect">
            <a:avLst/>
          </a:prstGeom>
        </xdr:spPr>
      </xdr:pic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18029" y="13626353"/>
            <a:ext cx="8146677" cy="9719389"/>
            <a:chOff x="818029" y="13626353"/>
            <a:chExt cx="8146677" cy="9719389"/>
          </a:xfrm>
        </xdr:grpSpPr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818029" y="13626353"/>
              <a:ext cx="6853519" cy="9719389"/>
              <a:chOff x="818029" y="13626353"/>
              <a:chExt cx="6853519" cy="9719389"/>
            </a:xfrm>
          </xdr:grpSpPr>
          <xdr:sp macro="" textlink="">
            <xdr:nvSpPr>
              <xdr:cNvPr id="19" name="正方形/長方形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18029" y="13626353"/>
                <a:ext cx="1501589" cy="9719389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1" name="直線矢印コネクタ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CxnSpPr>
                <a:stCxn id="19" idx="3"/>
                <a:endCxn id="23" idx="1"/>
              </xdr:cNvCxnSpPr>
            </xdr:nvCxnSpPr>
            <xdr:spPr>
              <a:xfrm flipV="1">
                <a:off x="2319618" y="18212804"/>
                <a:ext cx="5351930" cy="273245"/>
              </a:xfrm>
              <a:prstGeom prst="straightConnector1">
                <a:avLst/>
              </a:prstGeom>
              <a:ln w="571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" name="正方形/長方形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7671548" y="14932723"/>
              <a:ext cx="1293158" cy="656016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8" name="グループ化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997323" y="2208682"/>
            <a:ext cx="13335001" cy="12201495"/>
            <a:chOff x="-5098677" y="-3730436"/>
            <a:chExt cx="13335001" cy="12201495"/>
          </a:xfrm>
        </xdr:grpSpPr>
        <xdr:grpSp>
          <xdr:nvGrpSpPr>
            <xdr:cNvPr id="29" name="グループ化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-5098677" y="-3730436"/>
              <a:ext cx="7341949" cy="10646429"/>
              <a:chOff x="-5098677" y="-3730436"/>
              <a:chExt cx="7341949" cy="10646429"/>
            </a:xfrm>
          </xdr:grpSpPr>
          <xdr:sp macro="" textlink="">
            <xdr:nvSpPr>
              <xdr:cNvPr id="31" name="正方形/長方形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-5098677" y="-3730436"/>
                <a:ext cx="4280648" cy="9549037"/>
              </a:xfrm>
              <a:prstGeom prst="rect">
                <a:avLst/>
              </a:prstGeom>
              <a:noFill/>
              <a:ln w="28575">
                <a:solidFill>
                  <a:schemeClr val="accent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32" name="直線矢印コネクタ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>
                <a:stCxn id="31" idx="3"/>
                <a:endCxn id="30" idx="1"/>
              </xdr:cNvCxnSpPr>
            </xdr:nvCxnSpPr>
            <xdr:spPr>
              <a:xfrm>
                <a:off x="-818029" y="1044084"/>
                <a:ext cx="3061301" cy="5871909"/>
              </a:xfrm>
              <a:prstGeom prst="straightConnector1">
                <a:avLst/>
              </a:prstGeom>
              <a:ln w="57150">
                <a:solidFill>
                  <a:schemeClr val="accent2">
                    <a:lumMod val="75000"/>
                  </a:schemeClr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正方形/長方形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2243272" y="5360925"/>
              <a:ext cx="5993052" cy="3110134"/>
            </a:xfrm>
            <a:prstGeom prst="rect">
              <a:avLst/>
            </a:prstGeom>
            <a:noFill/>
            <a:ln w="38100">
              <a:solidFill>
                <a:srgbClr val="C3763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</xdr:col>
      <xdr:colOff>228601</xdr:colOff>
      <xdr:row>139</xdr:row>
      <xdr:rowOff>129550</xdr:rowOff>
    </xdr:from>
    <xdr:to>
      <xdr:col>26</xdr:col>
      <xdr:colOff>22410</xdr:colOff>
      <xdr:row>165</xdr:row>
      <xdr:rowOff>9526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42123" y="24720615"/>
          <a:ext cx="15853787" cy="4402281"/>
          <a:chOff x="-1981909" y="10896520"/>
          <a:chExt cx="15765226" cy="9987707"/>
        </a:xfrm>
      </xdr:grpSpPr>
      <xdr:pic>
        <xdr:nvPicPr>
          <xdr:cNvPr id="20" name="図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81078" y="10896520"/>
            <a:ext cx="6702239" cy="9987707"/>
          </a:xfrm>
          <a:prstGeom prst="rect">
            <a:avLst/>
          </a:prstGeom>
        </xdr:spPr>
      </xdr:pic>
      <xdr:grpSp>
        <xdr:nvGrpSpPr>
          <xdr:cNvPr id="25" name="グループ化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-1981909" y="10941139"/>
            <a:ext cx="15733392" cy="6148889"/>
            <a:chOff x="-1981909" y="10941139"/>
            <a:chExt cx="15733392" cy="6148889"/>
          </a:xfrm>
        </xdr:grpSpPr>
        <xdr:grpSp>
          <xdr:nvGrpSpPr>
            <xdr:cNvPr id="37" name="グループ化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-1981909" y="11142523"/>
              <a:ext cx="10340170" cy="5947505"/>
              <a:chOff x="-1981909" y="11142523"/>
              <a:chExt cx="10340170" cy="5947505"/>
            </a:xfrm>
          </xdr:grpSpPr>
          <xdr:sp macro="" textlink="">
            <xdr:nvSpPr>
              <xdr:cNvPr id="39" name="正方形/長方形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-1981909" y="15247761"/>
                <a:ext cx="4301528" cy="1842267"/>
              </a:xfrm>
              <a:prstGeom prst="rect">
                <a:avLst/>
              </a:prstGeom>
              <a:noFill/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40" name="直線矢印コネクタ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>
                <a:stCxn id="39" idx="3"/>
                <a:endCxn id="38" idx="1"/>
              </xdr:cNvCxnSpPr>
            </xdr:nvCxnSpPr>
            <xdr:spPr>
              <a:xfrm flipV="1">
                <a:off x="2319619" y="11142523"/>
                <a:ext cx="6038642" cy="5026373"/>
              </a:xfrm>
              <a:prstGeom prst="straightConnector1">
                <a:avLst/>
              </a:prstGeom>
              <a:ln w="57150">
                <a:solidFill>
                  <a:srgbClr val="00B05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正方形/長方形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8358262" y="10941139"/>
              <a:ext cx="5393221" cy="402764"/>
            </a:xfrm>
            <a:prstGeom prst="rect">
              <a:avLst/>
            </a:prstGeom>
            <a:noFill/>
            <a:ln w="38100">
              <a:solidFill>
                <a:srgbClr val="43661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 editAs="oneCell">
    <xdr:from>
      <xdr:col>3</xdr:col>
      <xdr:colOff>1</xdr:colOff>
      <xdr:row>174</xdr:row>
      <xdr:rowOff>37805</xdr:rowOff>
    </xdr:from>
    <xdr:to>
      <xdr:col>16</xdr:col>
      <xdr:colOff>104775</xdr:colOff>
      <xdr:row>197</xdr:row>
      <xdr:rowOff>7432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30508280"/>
          <a:ext cx="9020174" cy="391297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202</xdr:row>
      <xdr:rowOff>57150</xdr:rowOff>
    </xdr:from>
    <xdr:to>
      <xdr:col>15</xdr:col>
      <xdr:colOff>189448</xdr:colOff>
      <xdr:row>224</xdr:row>
      <xdr:rowOff>151917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35328225"/>
          <a:ext cx="8419048" cy="38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38100</xdr:colOff>
      <xdr:row>239</xdr:row>
      <xdr:rowOff>47625</xdr:rowOff>
    </xdr:from>
    <xdr:to>
      <xdr:col>12</xdr:col>
      <xdr:colOff>113519</xdr:colOff>
      <xdr:row>254</xdr:row>
      <xdr:rowOff>28256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0" y="41490900"/>
          <a:ext cx="6247619" cy="2552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552450</xdr:colOff>
      <xdr:row>234</xdr:row>
      <xdr:rowOff>85725</xdr:rowOff>
    </xdr:from>
    <xdr:to>
      <xdr:col>18</xdr:col>
      <xdr:colOff>685269</xdr:colOff>
      <xdr:row>253</xdr:row>
      <xdr:rowOff>123413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6650" y="40671750"/>
          <a:ext cx="4247619" cy="3295238"/>
        </a:xfrm>
        <a:prstGeom prst="rect">
          <a:avLst/>
        </a:prstGeom>
      </xdr:spPr>
    </xdr:pic>
    <xdr:clientData/>
  </xdr:twoCellAnchor>
  <xdr:twoCellAnchor>
    <xdr:from>
      <xdr:col>18</xdr:col>
      <xdr:colOff>209550</xdr:colOff>
      <xdr:row>247</xdr:row>
      <xdr:rowOff>0</xdr:rowOff>
    </xdr:from>
    <xdr:to>
      <xdr:col>21</xdr:col>
      <xdr:colOff>38100</xdr:colOff>
      <xdr:row>251</xdr:row>
      <xdr:rowOff>114300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11258550" y="42814875"/>
          <a:ext cx="188595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←点数を設定していただくと、自動計算されます。</a:t>
          </a:r>
        </a:p>
      </xdr:txBody>
    </xdr:sp>
    <xdr:clientData/>
  </xdr:twoCellAnchor>
  <xdr:twoCellAnchor editAs="oneCell">
    <xdr:from>
      <xdr:col>3</xdr:col>
      <xdr:colOff>28576</xdr:colOff>
      <xdr:row>267</xdr:row>
      <xdr:rowOff>28575</xdr:rowOff>
    </xdr:from>
    <xdr:to>
      <xdr:col>19</xdr:col>
      <xdr:colOff>123826</xdr:colOff>
      <xdr:row>289</xdr:row>
      <xdr:rowOff>92056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46272450"/>
          <a:ext cx="11068050" cy="3835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505707</xdr:colOff>
      <xdr:row>257</xdr:row>
      <xdr:rowOff>85725</xdr:rowOff>
    </xdr:from>
    <xdr:to>
      <xdr:col>23</xdr:col>
      <xdr:colOff>294745</xdr:colOff>
      <xdr:row>275</xdr:row>
      <xdr:rowOff>28163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68907" y="44615100"/>
          <a:ext cx="3903838" cy="3028538"/>
        </a:xfrm>
        <a:prstGeom prst="rect">
          <a:avLst/>
        </a:prstGeom>
      </xdr:spPr>
    </xdr:pic>
    <xdr:clientData/>
  </xdr:twoCellAnchor>
  <xdr:twoCellAnchor>
    <xdr:from>
      <xdr:col>21</xdr:col>
      <xdr:colOff>276224</xdr:colOff>
      <xdr:row>266</xdr:row>
      <xdr:rowOff>57150</xdr:rowOff>
    </xdr:from>
    <xdr:to>
      <xdr:col>25</xdr:col>
      <xdr:colOff>571499</xdr:colOff>
      <xdr:row>268</xdr:row>
      <xdr:rowOff>114300</xdr:rowOff>
    </xdr:to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3382624" y="46129575"/>
          <a:ext cx="30384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←点数を設定すると、配点を取得します。</a:t>
          </a:r>
        </a:p>
      </xdr:txBody>
    </xdr:sp>
    <xdr:clientData/>
  </xdr:twoCellAnchor>
  <xdr:twoCellAnchor editAs="oneCell">
    <xdr:from>
      <xdr:col>3</xdr:col>
      <xdr:colOff>28575</xdr:colOff>
      <xdr:row>388</xdr:row>
      <xdr:rowOff>19050</xdr:rowOff>
    </xdr:from>
    <xdr:to>
      <xdr:col>9</xdr:col>
      <xdr:colOff>256360</xdr:colOff>
      <xdr:row>411</xdr:row>
      <xdr:rowOff>161925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0575" y="52263675"/>
          <a:ext cx="4342585" cy="4086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28575</xdr:colOff>
      <xdr:row>424</xdr:row>
      <xdr:rowOff>66675</xdr:rowOff>
    </xdr:from>
    <xdr:to>
      <xdr:col>26</xdr:col>
      <xdr:colOff>131365</xdr:colOff>
      <xdr:row>448</xdr:row>
      <xdr:rowOff>47113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0575" y="58483500"/>
          <a:ext cx="15876190" cy="4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219074</xdr:colOff>
      <xdr:row>423</xdr:row>
      <xdr:rowOff>133349</xdr:rowOff>
    </xdr:from>
    <xdr:to>
      <xdr:col>9</xdr:col>
      <xdr:colOff>343072</xdr:colOff>
      <xdr:row>439</xdr:row>
      <xdr:rowOff>19050</xdr:rowOff>
    </xdr:to>
    <xdr:pic>
      <xdr:nvPicPr>
        <xdr:cNvPr id="63" name="図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3424" y="58378724"/>
          <a:ext cx="4486448" cy="262890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38100</xdr:colOff>
      <xdr:row>430</xdr:row>
      <xdr:rowOff>85724</xdr:rowOff>
    </xdr:from>
    <xdr:to>
      <xdr:col>10</xdr:col>
      <xdr:colOff>438150</xdr:colOff>
      <xdr:row>437</xdr:row>
      <xdr:rowOff>76200</xdr:rowOff>
    </xdr:to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2171700" y="59531249"/>
          <a:ext cx="3829050" cy="1190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←数式が</a:t>
          </a:r>
          <a:r>
            <a:rPr lang="en-US" altLang="ja-JP" b="1"/>
            <a:t>REF</a:t>
          </a:r>
          <a:r>
            <a:rPr lang="ja-JP" altLang="en-US" b="1"/>
            <a:t>エラーになったら、点数入力シート左上の「数式修正」を実行してください。</a:t>
          </a:r>
          <a:endParaRPr lang="en-US" altLang="ja-JP" b="1"/>
        </a:p>
        <a:p>
          <a:endParaRPr lang="ja-JP" altLang="en-US" b="1"/>
        </a:p>
      </xdr:txBody>
    </xdr:sp>
    <xdr:clientData/>
  </xdr:twoCellAnchor>
  <xdr:twoCellAnchor editAs="oneCell">
    <xdr:from>
      <xdr:col>2</xdr:col>
      <xdr:colOff>238125</xdr:colOff>
      <xdr:row>299</xdr:row>
      <xdr:rowOff>38100</xdr:rowOff>
    </xdr:from>
    <xdr:to>
      <xdr:col>8</xdr:col>
      <xdr:colOff>685284</xdr:colOff>
      <xdr:row>312</xdr:row>
      <xdr:rowOff>142583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2475" y="63769875"/>
          <a:ext cx="4123809" cy="23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322</xdr:row>
      <xdr:rowOff>104775</xdr:rowOff>
    </xdr:from>
    <xdr:to>
      <xdr:col>8</xdr:col>
      <xdr:colOff>133350</xdr:colOff>
      <xdr:row>337</xdr:row>
      <xdr:rowOff>35368</xdr:rowOff>
    </xdr:to>
    <xdr:pic>
      <xdr:nvPicPr>
        <xdr:cNvPr id="67" name="図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90576" y="67265550"/>
          <a:ext cx="3533774" cy="250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19050</xdr:colOff>
      <xdr:row>343</xdr:row>
      <xdr:rowOff>19050</xdr:rowOff>
    </xdr:from>
    <xdr:to>
      <xdr:col>10</xdr:col>
      <xdr:colOff>380355</xdr:colOff>
      <xdr:row>374</xdr:row>
      <xdr:rowOff>46957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1050" y="71980425"/>
          <a:ext cx="5161905" cy="534285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454</xdr:row>
      <xdr:rowOff>133350</xdr:rowOff>
    </xdr:from>
    <xdr:to>
      <xdr:col>21</xdr:col>
      <xdr:colOff>437452</xdr:colOff>
      <xdr:row>473</xdr:row>
      <xdr:rowOff>113896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4CA1BCC4-FC55-9DFC-3E99-53C3B2284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62900" y="78438375"/>
          <a:ext cx="5580952" cy="3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3799" name="addUnitBtn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188436E7-5B16-5EBB-04B2-03118F6B8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3800" name="repairCalc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9A4D6470-DD12-793A-A8E3-BCCA1462E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9937" name="addUnitBt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B3BD01DD-7124-9F4D-4B10-642CD8F64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9938" name="repairCalc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DEB3C871-436A-20AE-5AA9-42BC46E39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BF9F2-14BB-41A8-955F-4605938BD4DF}">
  <sheetPr codeName="Sheet14"/>
  <dimension ref="A1:Q484"/>
  <sheetViews>
    <sheetView tabSelected="1" zoomScale="115" zoomScaleNormal="115" workbookViewId="0"/>
  </sheetViews>
  <sheetFormatPr defaultRowHeight="13.5" x14ac:dyDescent="0.4"/>
  <cols>
    <col min="1" max="1" width="2.625" style="36" customWidth="1"/>
    <col min="2" max="2" width="4.125" style="36" customWidth="1"/>
    <col min="3" max="3" width="3.25" style="36" customWidth="1"/>
    <col min="4" max="16384" width="9" style="36"/>
  </cols>
  <sheetData>
    <row r="1" spans="1:17" ht="18" thickBot="1" x14ac:dyDescent="0.45">
      <c r="A1" s="43" t="s">
        <v>66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4" t="s">
        <v>67</v>
      </c>
    </row>
    <row r="2" spans="1:17" ht="14.25" thickTop="1" x14ac:dyDescent="0.4"/>
    <row r="3" spans="1:17" x14ac:dyDescent="0.4">
      <c r="A3" s="36">
        <v>1</v>
      </c>
      <c r="B3" s="45" t="s">
        <v>68</v>
      </c>
    </row>
    <row r="5" spans="1:17" x14ac:dyDescent="0.4">
      <c r="B5" s="36" t="s">
        <v>70</v>
      </c>
    </row>
    <row r="6" spans="1:17" x14ac:dyDescent="0.4">
      <c r="B6" s="36" t="s">
        <v>71</v>
      </c>
    </row>
    <row r="7" spans="1:17" x14ac:dyDescent="0.4">
      <c r="B7" s="36" t="s">
        <v>69</v>
      </c>
    </row>
    <row r="9" spans="1:17" x14ac:dyDescent="0.4">
      <c r="B9" s="36" t="s">
        <v>78</v>
      </c>
    </row>
    <row r="11" spans="1:17" x14ac:dyDescent="0.4">
      <c r="A11" s="36">
        <v>2</v>
      </c>
      <c r="B11" s="45" t="s">
        <v>79</v>
      </c>
    </row>
    <row r="13" spans="1:17" x14ac:dyDescent="0.4">
      <c r="B13" s="36" t="s">
        <v>73</v>
      </c>
    </row>
    <row r="15" spans="1:17" x14ac:dyDescent="0.4">
      <c r="B15" s="45" t="s">
        <v>74</v>
      </c>
    </row>
    <row r="16" spans="1:17" x14ac:dyDescent="0.4">
      <c r="C16" s="36" t="s">
        <v>75</v>
      </c>
    </row>
    <row r="18" spans="2:3" x14ac:dyDescent="0.4">
      <c r="B18" s="45" t="s">
        <v>76</v>
      </c>
    </row>
    <row r="19" spans="2:3" x14ac:dyDescent="0.4">
      <c r="C19" s="36" t="s">
        <v>77</v>
      </c>
    </row>
    <row r="21" spans="2:3" x14ac:dyDescent="0.4">
      <c r="C21" s="36" t="s">
        <v>91</v>
      </c>
    </row>
    <row r="47" spans="1:2" x14ac:dyDescent="0.4">
      <c r="A47" s="36">
        <v>3</v>
      </c>
      <c r="B47" s="45" t="s">
        <v>72</v>
      </c>
    </row>
    <row r="49" spans="2:4" x14ac:dyDescent="0.4">
      <c r="B49" s="46" t="s">
        <v>80</v>
      </c>
      <c r="C49" s="36" t="s">
        <v>81</v>
      </c>
    </row>
    <row r="51" spans="2:4" x14ac:dyDescent="0.4">
      <c r="C51" s="36" t="s">
        <v>83</v>
      </c>
    </row>
    <row r="53" spans="2:4" x14ac:dyDescent="0.4">
      <c r="D53" s="36" t="s">
        <v>97</v>
      </c>
    </row>
    <row r="55" spans="2:4" x14ac:dyDescent="0.4">
      <c r="D55" s="36" t="s">
        <v>98</v>
      </c>
    </row>
    <row r="57" spans="2:4" x14ac:dyDescent="0.4">
      <c r="D57" s="36" t="s">
        <v>82</v>
      </c>
    </row>
    <row r="59" spans="2:4" x14ac:dyDescent="0.4">
      <c r="C59" s="36" t="s">
        <v>84</v>
      </c>
    </row>
    <row r="73" spans="2:4" x14ac:dyDescent="0.4">
      <c r="B73" s="46" t="s">
        <v>85</v>
      </c>
      <c r="C73" s="36" t="s">
        <v>86</v>
      </c>
    </row>
    <row r="75" spans="2:4" x14ac:dyDescent="0.4">
      <c r="C75" s="36" t="s">
        <v>87</v>
      </c>
    </row>
    <row r="77" spans="2:4" x14ac:dyDescent="0.4">
      <c r="C77" s="45" t="s">
        <v>92</v>
      </c>
    </row>
    <row r="79" spans="2:4" x14ac:dyDescent="0.4">
      <c r="D79" s="36" t="s">
        <v>93</v>
      </c>
    </row>
    <row r="80" spans="2:4" x14ac:dyDescent="0.4">
      <c r="D80" s="36" t="s">
        <v>94</v>
      </c>
    </row>
    <row r="81" spans="4:4" x14ac:dyDescent="0.4">
      <c r="D81" s="36" t="s">
        <v>95</v>
      </c>
    </row>
    <row r="97" spans="3:4" ht="15.75" customHeight="1" x14ac:dyDescent="0.4"/>
    <row r="98" spans="3:4" ht="15.75" customHeight="1" x14ac:dyDescent="0.4"/>
    <row r="99" spans="3:4" ht="15.75" customHeight="1" x14ac:dyDescent="0.4"/>
    <row r="100" spans="3:4" ht="15.75" customHeight="1" x14ac:dyDescent="0.4"/>
    <row r="101" spans="3:4" ht="15.75" customHeight="1" x14ac:dyDescent="0.4"/>
    <row r="102" spans="3:4" ht="15.75" customHeight="1" x14ac:dyDescent="0.4"/>
    <row r="103" spans="3:4" ht="15.75" customHeight="1" x14ac:dyDescent="0.4"/>
    <row r="104" spans="3:4" ht="15.75" customHeight="1" x14ac:dyDescent="0.4"/>
    <row r="105" spans="3:4" ht="15.75" customHeight="1" x14ac:dyDescent="0.4"/>
    <row r="106" spans="3:4" ht="15.75" customHeight="1" x14ac:dyDescent="0.4"/>
    <row r="107" spans="3:4" ht="15.75" customHeight="1" x14ac:dyDescent="0.4"/>
    <row r="108" spans="3:4" x14ac:dyDescent="0.4">
      <c r="C108" s="45" t="s">
        <v>88</v>
      </c>
    </row>
    <row r="109" spans="3:4" ht="15.75" customHeight="1" x14ac:dyDescent="0.4"/>
    <row r="110" spans="3:4" x14ac:dyDescent="0.4">
      <c r="D110" s="36" t="s">
        <v>96</v>
      </c>
    </row>
    <row r="138" spans="3:4" ht="15.75" customHeight="1" x14ac:dyDescent="0.4"/>
    <row r="139" spans="3:4" ht="15.75" customHeight="1" x14ac:dyDescent="0.4"/>
    <row r="140" spans="3:4" x14ac:dyDescent="0.4">
      <c r="C140" s="45" t="s">
        <v>100</v>
      </c>
    </row>
    <row r="142" spans="3:4" x14ac:dyDescent="0.4">
      <c r="D142" s="36" t="s">
        <v>102</v>
      </c>
    </row>
    <row r="143" spans="3:4" x14ac:dyDescent="0.4">
      <c r="D143" s="36" t="s">
        <v>101</v>
      </c>
    </row>
    <row r="145" spans="4:4" x14ac:dyDescent="0.4">
      <c r="D145" s="36" t="s">
        <v>103</v>
      </c>
    </row>
    <row r="146" spans="4:4" x14ac:dyDescent="0.4">
      <c r="D146" s="36" t="s">
        <v>104</v>
      </c>
    </row>
    <row r="168" spans="3:4" x14ac:dyDescent="0.4">
      <c r="C168" s="45" t="s">
        <v>105</v>
      </c>
    </row>
    <row r="170" spans="3:4" x14ac:dyDescent="0.4">
      <c r="D170" s="36" t="s">
        <v>106</v>
      </c>
    </row>
    <row r="171" spans="3:4" x14ac:dyDescent="0.4">
      <c r="D171" s="36" t="s">
        <v>107</v>
      </c>
    </row>
    <row r="173" spans="3:4" x14ac:dyDescent="0.4">
      <c r="D173" s="45" t="s">
        <v>108</v>
      </c>
    </row>
    <row r="174" spans="3:4" x14ac:dyDescent="0.4">
      <c r="D174" s="36" t="s">
        <v>110</v>
      </c>
    </row>
    <row r="200" spans="4:4" x14ac:dyDescent="0.4">
      <c r="D200" s="36" t="s">
        <v>109</v>
      </c>
    </row>
    <row r="202" spans="4:4" x14ac:dyDescent="0.4">
      <c r="D202" s="36" t="s">
        <v>111</v>
      </c>
    </row>
    <row r="228" spans="3:4" x14ac:dyDescent="0.4">
      <c r="C228" s="45" t="s">
        <v>112</v>
      </c>
    </row>
    <row r="230" spans="3:4" x14ac:dyDescent="0.4">
      <c r="D230" s="36" t="s">
        <v>113</v>
      </c>
    </row>
    <row r="231" spans="3:4" x14ac:dyDescent="0.4">
      <c r="D231" s="36" t="s">
        <v>114</v>
      </c>
    </row>
    <row r="233" spans="3:4" x14ac:dyDescent="0.4">
      <c r="D233" s="45" t="s">
        <v>115</v>
      </c>
    </row>
    <row r="234" spans="3:4" x14ac:dyDescent="0.4">
      <c r="D234" s="36" t="s">
        <v>116</v>
      </c>
    </row>
    <row r="235" spans="3:4" x14ac:dyDescent="0.4">
      <c r="D235" s="36" t="s">
        <v>117</v>
      </c>
    </row>
    <row r="237" spans="3:4" x14ac:dyDescent="0.4">
      <c r="D237" s="47" t="s">
        <v>118</v>
      </c>
    </row>
    <row r="238" spans="3:4" x14ac:dyDescent="0.4">
      <c r="D238" s="47" t="s">
        <v>119</v>
      </c>
    </row>
    <row r="239" spans="3:4" x14ac:dyDescent="0.4">
      <c r="D239" s="45" t="s">
        <v>120</v>
      </c>
    </row>
    <row r="258" spans="3:4" x14ac:dyDescent="0.4">
      <c r="C258" s="45" t="s">
        <v>126</v>
      </c>
    </row>
    <row r="260" spans="3:4" x14ac:dyDescent="0.4">
      <c r="D260" s="36" t="s">
        <v>121</v>
      </c>
    </row>
    <row r="261" spans="3:4" x14ac:dyDescent="0.4">
      <c r="D261" s="36" t="s">
        <v>125</v>
      </c>
    </row>
    <row r="263" spans="3:4" x14ac:dyDescent="0.4">
      <c r="D263" s="47" t="s">
        <v>122</v>
      </c>
    </row>
    <row r="264" spans="3:4" x14ac:dyDescent="0.4">
      <c r="D264" s="47" t="s">
        <v>123</v>
      </c>
    </row>
    <row r="265" spans="3:4" x14ac:dyDescent="0.4">
      <c r="D265" s="47"/>
    </row>
    <row r="266" spans="3:4" x14ac:dyDescent="0.4">
      <c r="D266" s="47" t="s">
        <v>124</v>
      </c>
    </row>
    <row r="267" spans="3:4" x14ac:dyDescent="0.4">
      <c r="D267" s="45" t="s">
        <v>120</v>
      </c>
    </row>
    <row r="292" spans="2:4" x14ac:dyDescent="0.4">
      <c r="B292" s="46" t="s">
        <v>127</v>
      </c>
      <c r="C292" s="45" t="s">
        <v>161</v>
      </c>
    </row>
    <row r="293" spans="2:4" x14ac:dyDescent="0.4">
      <c r="C293" s="45"/>
    </row>
    <row r="294" spans="2:4" x14ac:dyDescent="0.4">
      <c r="C294" s="45"/>
      <c r="D294" s="36" t="s">
        <v>152</v>
      </c>
    </row>
    <row r="295" spans="2:4" x14ac:dyDescent="0.4">
      <c r="C295" s="45"/>
    </row>
    <row r="297" spans="2:4" x14ac:dyDescent="0.4">
      <c r="D297" s="36" t="s">
        <v>143</v>
      </c>
    </row>
    <row r="298" spans="2:4" x14ac:dyDescent="0.4">
      <c r="D298" s="36" t="s">
        <v>144</v>
      </c>
    </row>
    <row r="315" spans="4:4" x14ac:dyDescent="0.4">
      <c r="D315" s="36" t="s">
        <v>145</v>
      </c>
    </row>
    <row r="317" spans="4:4" x14ac:dyDescent="0.4">
      <c r="D317" s="36" t="s">
        <v>146</v>
      </c>
    </row>
    <row r="319" spans="4:4" x14ac:dyDescent="0.4">
      <c r="D319" s="45" t="s">
        <v>151</v>
      </c>
    </row>
    <row r="320" spans="4:4" x14ac:dyDescent="0.4">
      <c r="D320" s="45" t="s">
        <v>150</v>
      </c>
    </row>
    <row r="322" spans="4:4" x14ac:dyDescent="0.4">
      <c r="D322" s="36" t="s">
        <v>147</v>
      </c>
    </row>
    <row r="340" spans="4:4" x14ac:dyDescent="0.4">
      <c r="D340" s="36" t="s">
        <v>160</v>
      </c>
    </row>
    <row r="343" spans="4:4" x14ac:dyDescent="0.4">
      <c r="D343" s="36" t="s">
        <v>149</v>
      </c>
    </row>
    <row r="379" spans="2:4" x14ac:dyDescent="0.4">
      <c r="B379" s="48" t="s">
        <v>127</v>
      </c>
      <c r="C379" s="45" t="s">
        <v>139</v>
      </c>
    </row>
    <row r="381" spans="2:4" x14ac:dyDescent="0.4">
      <c r="C381" s="36" t="s">
        <v>128</v>
      </c>
    </row>
    <row r="383" spans="2:4" x14ac:dyDescent="0.4">
      <c r="D383" s="36" t="s">
        <v>129</v>
      </c>
    </row>
    <row r="384" spans="2:4" x14ac:dyDescent="0.4">
      <c r="D384" s="36" t="s">
        <v>130</v>
      </c>
    </row>
    <row r="385" spans="4:4" x14ac:dyDescent="0.4">
      <c r="D385" s="45" t="s">
        <v>131</v>
      </c>
    </row>
    <row r="387" spans="4:4" x14ac:dyDescent="0.4">
      <c r="D387" s="36" t="s">
        <v>132</v>
      </c>
    </row>
    <row r="388" spans="4:4" x14ac:dyDescent="0.4">
      <c r="D388" s="36" t="s">
        <v>133</v>
      </c>
    </row>
    <row r="415" spans="3:3" x14ac:dyDescent="0.4">
      <c r="C415" s="45" t="s">
        <v>135</v>
      </c>
    </row>
    <row r="417" spans="4:4" x14ac:dyDescent="0.4">
      <c r="D417" s="36" t="s">
        <v>136</v>
      </c>
    </row>
    <row r="418" spans="4:4" x14ac:dyDescent="0.4">
      <c r="D418" s="36" t="s">
        <v>137</v>
      </c>
    </row>
    <row r="419" spans="4:4" x14ac:dyDescent="0.4">
      <c r="D419" s="45" t="s">
        <v>138</v>
      </c>
    </row>
    <row r="421" spans="4:4" x14ac:dyDescent="0.4">
      <c r="D421" s="36" t="s">
        <v>140</v>
      </c>
    </row>
    <row r="422" spans="4:4" x14ac:dyDescent="0.4">
      <c r="D422" s="36" t="s">
        <v>141</v>
      </c>
    </row>
    <row r="423" spans="4:4" x14ac:dyDescent="0.4">
      <c r="D423" s="36" t="s">
        <v>142</v>
      </c>
    </row>
    <row r="451" spans="3:13" x14ac:dyDescent="0.4">
      <c r="C451" s="36" t="s">
        <v>162</v>
      </c>
      <c r="D451" s="45" t="s">
        <v>163</v>
      </c>
    </row>
    <row r="453" spans="3:13" x14ac:dyDescent="0.4">
      <c r="D453" s="36" t="s">
        <v>164</v>
      </c>
    </row>
    <row r="454" spans="3:13" x14ac:dyDescent="0.4">
      <c r="D454" s="36" t="s">
        <v>165</v>
      </c>
    </row>
    <row r="456" spans="3:13" ht="12.75" customHeight="1" x14ac:dyDescent="0.4">
      <c r="M456" s="45" t="s">
        <v>168</v>
      </c>
    </row>
    <row r="458" spans="3:13" x14ac:dyDescent="0.4">
      <c r="D458" s="45" t="s">
        <v>166</v>
      </c>
    </row>
    <row r="459" spans="3:13" x14ac:dyDescent="0.4">
      <c r="D459" s="45" t="s">
        <v>167</v>
      </c>
    </row>
    <row r="461" spans="3:13" x14ac:dyDescent="0.4">
      <c r="D461" s="36" t="s">
        <v>169</v>
      </c>
    </row>
    <row r="462" spans="3:13" x14ac:dyDescent="0.4">
      <c r="D462" s="36" t="s">
        <v>170</v>
      </c>
    </row>
    <row r="463" spans="3:13" x14ac:dyDescent="0.4">
      <c r="D463" s="36" t="s">
        <v>171</v>
      </c>
    </row>
    <row r="466" spans="4:4" x14ac:dyDescent="0.4">
      <c r="D466" s="36" t="s">
        <v>175</v>
      </c>
    </row>
    <row r="468" spans="4:4" x14ac:dyDescent="0.4">
      <c r="D468" s="36" t="s">
        <v>173</v>
      </c>
    </row>
    <row r="469" spans="4:4" x14ac:dyDescent="0.4">
      <c r="D469" s="36" t="s">
        <v>174</v>
      </c>
    </row>
    <row r="472" spans="4:4" x14ac:dyDescent="0.4">
      <c r="D472" s="36" t="s">
        <v>172</v>
      </c>
    </row>
    <row r="474" spans="4:4" x14ac:dyDescent="0.4">
      <c r="D474" s="36" t="s">
        <v>176</v>
      </c>
    </row>
    <row r="476" spans="4:4" x14ac:dyDescent="0.4">
      <c r="D476" s="45" t="s">
        <v>177</v>
      </c>
    </row>
    <row r="477" spans="4:4" x14ac:dyDescent="0.4">
      <c r="D477" s="45"/>
    </row>
    <row r="478" spans="4:4" x14ac:dyDescent="0.4">
      <c r="D478" s="45" t="s">
        <v>178</v>
      </c>
    </row>
    <row r="479" spans="4:4" x14ac:dyDescent="0.4">
      <c r="D479" s="45"/>
    </row>
    <row r="480" spans="4:4" x14ac:dyDescent="0.4">
      <c r="D480" s="45" t="s">
        <v>179</v>
      </c>
    </row>
    <row r="482" spans="4:4" x14ac:dyDescent="0.4">
      <c r="D482" s="36" t="s">
        <v>180</v>
      </c>
    </row>
    <row r="484" spans="4:4" x14ac:dyDescent="0.4">
      <c r="D484" s="36" t="s">
        <v>181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25"/>
  <sheetViews>
    <sheetView workbookViewId="0"/>
  </sheetViews>
  <sheetFormatPr defaultRowHeight="13.5" x14ac:dyDescent="0.4"/>
  <cols>
    <col min="1" max="16384" width="9" style="36"/>
  </cols>
  <sheetData>
    <row r="1" spans="1:2" ht="15" thickTop="1" thickBot="1" x14ac:dyDescent="0.45">
      <c r="A1" s="14" t="s">
        <v>28</v>
      </c>
      <c r="B1" s="15"/>
    </row>
    <row r="2" spans="1:2" ht="14.25" thickTop="1" x14ac:dyDescent="0.4">
      <c r="A2" s="19" t="s">
        <v>1</v>
      </c>
      <c r="B2" s="19" t="s">
        <v>20</v>
      </c>
    </row>
    <row r="3" spans="1:2" x14ac:dyDescent="0.4">
      <c r="A3" s="54">
        <v>1</v>
      </c>
      <c r="B3" s="54" t="s">
        <v>89</v>
      </c>
    </row>
    <row r="4" spans="1:2" x14ac:dyDescent="0.4">
      <c r="A4" s="54">
        <v>2</v>
      </c>
      <c r="B4" s="54" t="s">
        <v>90</v>
      </c>
    </row>
    <row r="5" spans="1:2" x14ac:dyDescent="0.4">
      <c r="A5" s="54">
        <v>3</v>
      </c>
      <c r="B5" s="54" t="s">
        <v>89</v>
      </c>
    </row>
    <row r="6" spans="1:2" x14ac:dyDescent="0.4">
      <c r="A6" s="54">
        <v>4</v>
      </c>
      <c r="B6" s="54" t="s">
        <v>90</v>
      </c>
    </row>
    <row r="7" spans="1:2" x14ac:dyDescent="0.4">
      <c r="A7" s="54">
        <v>5</v>
      </c>
      <c r="B7" s="54" t="s">
        <v>89</v>
      </c>
    </row>
    <row r="8" spans="1:2" x14ac:dyDescent="0.4">
      <c r="A8" s="54">
        <v>6</v>
      </c>
      <c r="B8" s="54" t="s">
        <v>90</v>
      </c>
    </row>
    <row r="9" spans="1:2" x14ac:dyDescent="0.4">
      <c r="A9" s="54">
        <v>7</v>
      </c>
      <c r="B9" s="54" t="s">
        <v>90</v>
      </c>
    </row>
    <row r="10" spans="1:2" x14ac:dyDescent="0.4">
      <c r="A10" s="54">
        <v>8</v>
      </c>
      <c r="B10" s="54" t="s">
        <v>89</v>
      </c>
    </row>
    <row r="11" spans="1:2" x14ac:dyDescent="0.4">
      <c r="A11" s="54">
        <v>9</v>
      </c>
      <c r="B11" s="54" t="s">
        <v>90</v>
      </c>
    </row>
    <row r="12" spans="1:2" x14ac:dyDescent="0.4">
      <c r="A12" s="54">
        <v>10</v>
      </c>
      <c r="B12" s="54" t="s">
        <v>89</v>
      </c>
    </row>
    <row r="13" spans="1:2" x14ac:dyDescent="0.4">
      <c r="A13" s="54">
        <v>11</v>
      </c>
      <c r="B13" s="54" t="s">
        <v>90</v>
      </c>
    </row>
    <row r="14" spans="1:2" x14ac:dyDescent="0.4">
      <c r="A14" s="54">
        <v>12</v>
      </c>
      <c r="B14" s="54" t="s">
        <v>90</v>
      </c>
    </row>
    <row r="15" spans="1:2" x14ac:dyDescent="0.4">
      <c r="A15" s="54">
        <v>13</v>
      </c>
      <c r="B15" s="54" t="s">
        <v>89</v>
      </c>
    </row>
    <row r="16" spans="1:2" x14ac:dyDescent="0.4">
      <c r="A16" s="54">
        <v>14</v>
      </c>
      <c r="B16" s="54" t="s">
        <v>90</v>
      </c>
    </row>
    <row r="17" spans="1:2" x14ac:dyDescent="0.4">
      <c r="A17" s="54">
        <v>15</v>
      </c>
      <c r="B17" s="54" t="s">
        <v>89</v>
      </c>
    </row>
    <row r="18" spans="1:2" x14ac:dyDescent="0.4">
      <c r="A18" s="54">
        <v>16</v>
      </c>
      <c r="B18" s="54" t="s">
        <v>90</v>
      </c>
    </row>
    <row r="19" spans="1:2" x14ac:dyDescent="0.4">
      <c r="A19" s="54">
        <v>17</v>
      </c>
      <c r="B19" s="54" t="s">
        <v>90</v>
      </c>
    </row>
    <row r="20" spans="1:2" x14ac:dyDescent="0.4">
      <c r="A20" s="54">
        <v>18</v>
      </c>
      <c r="B20" s="54" t="s">
        <v>89</v>
      </c>
    </row>
    <row r="21" spans="1:2" x14ac:dyDescent="0.4">
      <c r="A21" s="54">
        <v>19</v>
      </c>
      <c r="B21" s="54" t="s">
        <v>90</v>
      </c>
    </row>
    <row r="22" spans="1:2" x14ac:dyDescent="0.4">
      <c r="A22" s="54">
        <v>20</v>
      </c>
      <c r="B22" s="54" t="s">
        <v>89</v>
      </c>
    </row>
    <row r="23" spans="1:2" x14ac:dyDescent="0.4">
      <c r="A23" s="62"/>
      <c r="B23" s="54" t="s">
        <v>90</v>
      </c>
    </row>
    <row r="24" spans="1:2" x14ac:dyDescent="0.4">
      <c r="A24" s="13"/>
      <c r="B24" s="13"/>
    </row>
    <row r="25" spans="1:2" x14ac:dyDescent="0.4">
      <c r="A25" s="13"/>
      <c r="B25" s="13"/>
    </row>
  </sheetData>
  <autoFilter ref="A2:B2" xr:uid="{191B12A8-111B-4C66-913E-12BC46CC853E}"/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62"/>
  <sheetViews>
    <sheetView workbookViewId="0"/>
  </sheetViews>
  <sheetFormatPr defaultRowHeight="13.5" x14ac:dyDescent="0.4"/>
  <cols>
    <col min="1" max="1" width="15.75" style="13" customWidth="1"/>
    <col min="2" max="2" width="18.75" style="13" customWidth="1"/>
    <col min="3" max="3" width="29.25" style="13" customWidth="1"/>
    <col min="4" max="16384" width="9" style="36"/>
  </cols>
  <sheetData>
    <row r="1" spans="1:3" ht="15" thickTop="1" thickBot="1" x14ac:dyDescent="0.2">
      <c r="A1" s="40" t="s">
        <v>33</v>
      </c>
      <c r="B1" s="39" t="s">
        <v>34</v>
      </c>
      <c r="C1" s="16"/>
    </row>
    <row r="2" spans="1:3" ht="14.25" thickTop="1" x14ac:dyDescent="0.4">
      <c r="A2" s="20" t="s">
        <v>0</v>
      </c>
      <c r="B2" s="20" t="s">
        <v>3</v>
      </c>
      <c r="C2" s="20" t="s">
        <v>19</v>
      </c>
    </row>
    <row r="3" spans="1:3" x14ac:dyDescent="0.4">
      <c r="A3" s="54" t="s">
        <v>6</v>
      </c>
      <c r="B3" s="54" t="s">
        <v>18</v>
      </c>
      <c r="C3" s="54" t="s">
        <v>15</v>
      </c>
    </row>
    <row r="4" spans="1:3" x14ac:dyDescent="0.4">
      <c r="A4" s="54" t="s">
        <v>6</v>
      </c>
      <c r="B4" s="54" t="s">
        <v>18</v>
      </c>
      <c r="C4" s="54" t="s">
        <v>7</v>
      </c>
    </row>
    <row r="5" spans="1:3" x14ac:dyDescent="0.4">
      <c r="A5" s="54" t="s">
        <v>6</v>
      </c>
      <c r="B5" s="54" t="s">
        <v>18</v>
      </c>
      <c r="C5" s="54" t="s">
        <v>5</v>
      </c>
    </row>
    <row r="6" spans="1:3" x14ac:dyDescent="0.4">
      <c r="A6" s="54" t="s">
        <v>6</v>
      </c>
      <c r="B6" s="54" t="s">
        <v>18</v>
      </c>
      <c r="C6" s="54" t="s">
        <v>7</v>
      </c>
    </row>
    <row r="7" spans="1:3" x14ac:dyDescent="0.4">
      <c r="A7" s="54" t="s">
        <v>6</v>
      </c>
      <c r="B7" s="54" t="s">
        <v>18</v>
      </c>
      <c r="C7" s="54" t="s">
        <v>17</v>
      </c>
    </row>
    <row r="8" spans="1:3" x14ac:dyDescent="0.4">
      <c r="A8" s="54" t="s">
        <v>6</v>
      </c>
      <c r="B8" s="54" t="s">
        <v>18</v>
      </c>
      <c r="C8" s="54" t="s">
        <v>16</v>
      </c>
    </row>
    <row r="9" spans="1:3" x14ac:dyDescent="0.4">
      <c r="A9" s="54" t="s">
        <v>6</v>
      </c>
      <c r="B9" s="54" t="s">
        <v>18</v>
      </c>
      <c r="C9" s="54" t="s">
        <v>8</v>
      </c>
    </row>
    <row r="10" spans="1:3" x14ac:dyDescent="0.4">
      <c r="A10" s="54" t="s">
        <v>6</v>
      </c>
      <c r="B10" s="54" t="s">
        <v>4</v>
      </c>
      <c r="C10" s="54" t="s">
        <v>15</v>
      </c>
    </row>
    <row r="11" spans="1:3" x14ac:dyDescent="0.4">
      <c r="A11" s="54" t="s">
        <v>6</v>
      </c>
      <c r="B11" s="54" t="s">
        <v>4</v>
      </c>
      <c r="C11" s="54" t="s">
        <v>16</v>
      </c>
    </row>
    <row r="12" spans="1:3" x14ac:dyDescent="0.4">
      <c r="A12" s="54" t="s">
        <v>6</v>
      </c>
      <c r="B12" s="54" t="s">
        <v>4</v>
      </c>
      <c r="C12" s="54" t="s">
        <v>8</v>
      </c>
    </row>
    <row r="13" spans="1:3" x14ac:dyDescent="0.4">
      <c r="A13" s="54" t="s">
        <v>6</v>
      </c>
      <c r="B13" s="54" t="s">
        <v>47</v>
      </c>
      <c r="C13" s="54" t="s">
        <v>5</v>
      </c>
    </row>
    <row r="14" spans="1:3" x14ac:dyDescent="0.4">
      <c r="A14" s="54" t="s">
        <v>6</v>
      </c>
      <c r="B14" s="54" t="s">
        <v>9</v>
      </c>
      <c r="C14" s="54" t="s">
        <v>15</v>
      </c>
    </row>
    <row r="15" spans="1:3" x14ac:dyDescent="0.4">
      <c r="A15" s="54" t="s">
        <v>6</v>
      </c>
      <c r="B15" s="54" t="s">
        <v>9</v>
      </c>
      <c r="C15" s="54" t="s">
        <v>7</v>
      </c>
    </row>
    <row r="16" spans="1:3" x14ac:dyDescent="0.4">
      <c r="A16" s="54" t="s">
        <v>6</v>
      </c>
      <c r="B16" s="54" t="s">
        <v>9</v>
      </c>
      <c r="C16" s="54" t="s">
        <v>5</v>
      </c>
    </row>
    <row r="17" spans="1:3" x14ac:dyDescent="0.4">
      <c r="A17" s="54" t="s">
        <v>6</v>
      </c>
      <c r="B17" s="54" t="s">
        <v>9</v>
      </c>
      <c r="C17" s="54" t="s">
        <v>7</v>
      </c>
    </row>
    <row r="18" spans="1:3" x14ac:dyDescent="0.4">
      <c r="A18" s="54" t="s">
        <v>6</v>
      </c>
      <c r="B18" s="54" t="s">
        <v>9</v>
      </c>
      <c r="C18" s="54" t="s">
        <v>27</v>
      </c>
    </row>
    <row r="19" spans="1:3" x14ac:dyDescent="0.4">
      <c r="A19" s="54" t="s">
        <v>6</v>
      </c>
      <c r="B19" s="54" t="s">
        <v>9</v>
      </c>
      <c r="C19" s="54" t="s">
        <v>8</v>
      </c>
    </row>
    <row r="20" spans="1:3" x14ac:dyDescent="0.4">
      <c r="A20" s="54" t="s">
        <v>6</v>
      </c>
      <c r="B20" s="54" t="s">
        <v>48</v>
      </c>
      <c r="C20" s="54" t="s">
        <v>7</v>
      </c>
    </row>
    <row r="21" spans="1:3" x14ac:dyDescent="0.4">
      <c r="A21" s="54" t="s">
        <v>11</v>
      </c>
      <c r="B21" s="54" t="s">
        <v>18</v>
      </c>
      <c r="C21" s="54" t="s">
        <v>15</v>
      </c>
    </row>
    <row r="22" spans="1:3" x14ac:dyDescent="0.4">
      <c r="A22" s="54" t="s">
        <v>11</v>
      </c>
      <c r="B22" s="54" t="s">
        <v>18</v>
      </c>
      <c r="C22" s="54" t="s">
        <v>7</v>
      </c>
    </row>
    <row r="23" spans="1:3" x14ac:dyDescent="0.4">
      <c r="A23" s="54" t="s">
        <v>11</v>
      </c>
      <c r="B23" s="54" t="s">
        <v>18</v>
      </c>
      <c r="C23" s="54" t="s">
        <v>5</v>
      </c>
    </row>
    <row r="24" spans="1:3" x14ac:dyDescent="0.4">
      <c r="A24" s="54" t="s">
        <v>11</v>
      </c>
      <c r="B24" s="54" t="s">
        <v>18</v>
      </c>
      <c r="C24" s="54" t="s">
        <v>7</v>
      </c>
    </row>
    <row r="25" spans="1:3" x14ac:dyDescent="0.4">
      <c r="A25" s="54" t="s">
        <v>11</v>
      </c>
      <c r="B25" s="54" t="s">
        <v>18</v>
      </c>
      <c r="C25" s="54" t="s">
        <v>17</v>
      </c>
    </row>
    <row r="26" spans="1:3" x14ac:dyDescent="0.4">
      <c r="A26" s="54" t="s">
        <v>11</v>
      </c>
      <c r="B26" s="54" t="s">
        <v>18</v>
      </c>
      <c r="C26" s="54" t="s">
        <v>16</v>
      </c>
    </row>
    <row r="27" spans="1:3" x14ac:dyDescent="0.4">
      <c r="A27" s="54" t="s">
        <v>11</v>
      </c>
      <c r="B27" s="54" t="s">
        <v>18</v>
      </c>
      <c r="C27" s="54" t="s">
        <v>8</v>
      </c>
    </row>
    <row r="28" spans="1:3" x14ac:dyDescent="0.4">
      <c r="A28" s="54" t="s">
        <v>11</v>
      </c>
      <c r="B28" s="54" t="s">
        <v>4</v>
      </c>
      <c r="C28" s="54" t="s">
        <v>15</v>
      </c>
    </row>
    <row r="29" spans="1:3" x14ac:dyDescent="0.4">
      <c r="A29" s="54" t="s">
        <v>11</v>
      </c>
      <c r="B29" s="54" t="s">
        <v>4</v>
      </c>
      <c r="C29" s="54" t="s">
        <v>5</v>
      </c>
    </row>
    <row r="30" spans="1:3" x14ac:dyDescent="0.4">
      <c r="A30" s="54" t="s">
        <v>11</v>
      </c>
      <c r="B30" s="54" t="s">
        <v>4</v>
      </c>
      <c r="C30" s="54" t="s">
        <v>7</v>
      </c>
    </row>
    <row r="31" spans="1:3" x14ac:dyDescent="0.4">
      <c r="A31" s="54" t="s">
        <v>11</v>
      </c>
      <c r="B31" s="54" t="s">
        <v>4</v>
      </c>
      <c r="C31" s="54" t="s">
        <v>16</v>
      </c>
    </row>
    <row r="32" spans="1:3" x14ac:dyDescent="0.4">
      <c r="A32" s="54" t="s">
        <v>11</v>
      </c>
      <c r="B32" s="54" t="s">
        <v>4</v>
      </c>
      <c r="C32" s="54" t="s">
        <v>8</v>
      </c>
    </row>
    <row r="33" spans="1:3" x14ac:dyDescent="0.4">
      <c r="A33" s="54" t="s">
        <v>11</v>
      </c>
      <c r="B33" s="54" t="s">
        <v>9</v>
      </c>
      <c r="C33" s="54" t="s">
        <v>15</v>
      </c>
    </row>
    <row r="34" spans="1:3" x14ac:dyDescent="0.4">
      <c r="A34" s="54" t="s">
        <v>11</v>
      </c>
      <c r="B34" s="54" t="s">
        <v>9</v>
      </c>
      <c r="C34" s="54" t="s">
        <v>7</v>
      </c>
    </row>
    <row r="35" spans="1:3" x14ac:dyDescent="0.4">
      <c r="A35" s="54" t="s">
        <v>11</v>
      </c>
      <c r="B35" s="54" t="s">
        <v>9</v>
      </c>
      <c r="C35" s="54" t="s">
        <v>5</v>
      </c>
    </row>
    <row r="36" spans="1:3" x14ac:dyDescent="0.4">
      <c r="A36" s="54" t="s">
        <v>11</v>
      </c>
      <c r="B36" s="54" t="s">
        <v>9</v>
      </c>
      <c r="C36" s="54" t="s">
        <v>7</v>
      </c>
    </row>
    <row r="37" spans="1:3" x14ac:dyDescent="0.4">
      <c r="A37" s="54" t="s">
        <v>11</v>
      </c>
      <c r="B37" s="54" t="s">
        <v>9</v>
      </c>
      <c r="C37" s="54" t="s">
        <v>17</v>
      </c>
    </row>
    <row r="38" spans="1:3" x14ac:dyDescent="0.4">
      <c r="A38" s="54" t="s">
        <v>11</v>
      </c>
      <c r="B38" s="54" t="s">
        <v>9</v>
      </c>
      <c r="C38" s="54" t="s">
        <v>8</v>
      </c>
    </row>
    <row r="39" spans="1:3" x14ac:dyDescent="0.4">
      <c r="A39" s="54" t="s">
        <v>49</v>
      </c>
      <c r="B39" s="54" t="s">
        <v>18</v>
      </c>
      <c r="C39" s="54" t="s">
        <v>15</v>
      </c>
    </row>
    <row r="40" spans="1:3" x14ac:dyDescent="0.4">
      <c r="A40" s="54" t="s">
        <v>49</v>
      </c>
      <c r="B40" s="54" t="s">
        <v>4</v>
      </c>
      <c r="C40" s="54" t="s">
        <v>15</v>
      </c>
    </row>
    <row r="41" spans="1:3" x14ac:dyDescent="0.4">
      <c r="A41" s="54" t="s">
        <v>49</v>
      </c>
      <c r="B41" s="54" t="s">
        <v>4</v>
      </c>
      <c r="C41" s="54" t="s">
        <v>5</v>
      </c>
    </row>
    <row r="42" spans="1:3" x14ac:dyDescent="0.4">
      <c r="A42" s="54" t="s">
        <v>49</v>
      </c>
      <c r="B42" s="54" t="s">
        <v>4</v>
      </c>
      <c r="C42" s="54" t="s">
        <v>7</v>
      </c>
    </row>
    <row r="43" spans="1:3" x14ac:dyDescent="0.4">
      <c r="A43" s="54" t="s">
        <v>49</v>
      </c>
      <c r="B43" s="54" t="s">
        <v>4</v>
      </c>
      <c r="C43" s="54" t="s">
        <v>16</v>
      </c>
    </row>
    <row r="44" spans="1:3" x14ac:dyDescent="0.4">
      <c r="A44" s="54" t="s">
        <v>49</v>
      </c>
      <c r="B44" s="54" t="s">
        <v>4</v>
      </c>
      <c r="C44" s="54" t="s">
        <v>8</v>
      </c>
    </row>
    <row r="45" spans="1:3" x14ac:dyDescent="0.4">
      <c r="A45" s="54" t="s">
        <v>49</v>
      </c>
      <c r="B45" s="54" t="s">
        <v>9</v>
      </c>
      <c r="C45" s="54" t="s">
        <v>15</v>
      </c>
    </row>
    <row r="46" spans="1:3" x14ac:dyDescent="0.4">
      <c r="A46" s="54" t="s">
        <v>49</v>
      </c>
      <c r="B46" s="54" t="s">
        <v>9</v>
      </c>
      <c r="C46" s="54" t="s">
        <v>7</v>
      </c>
    </row>
    <row r="47" spans="1:3" x14ac:dyDescent="0.4">
      <c r="A47" s="54" t="s">
        <v>49</v>
      </c>
      <c r="B47" s="54" t="s">
        <v>9</v>
      </c>
      <c r="C47" s="54" t="s">
        <v>5</v>
      </c>
    </row>
    <row r="48" spans="1:3" x14ac:dyDescent="0.4">
      <c r="A48" s="54" t="s">
        <v>49</v>
      </c>
      <c r="B48" s="54" t="s">
        <v>9</v>
      </c>
      <c r="C48" s="54" t="s">
        <v>7</v>
      </c>
    </row>
    <row r="49" spans="1:3" x14ac:dyDescent="0.4">
      <c r="A49" s="54" t="s">
        <v>49</v>
      </c>
      <c r="B49" s="54" t="s">
        <v>9</v>
      </c>
      <c r="C49" s="54" t="s">
        <v>17</v>
      </c>
    </row>
    <row r="50" spans="1:3" x14ac:dyDescent="0.4">
      <c r="A50" s="54" t="s">
        <v>49</v>
      </c>
      <c r="B50" s="54" t="s">
        <v>9</v>
      </c>
      <c r="C50" s="54" t="s">
        <v>8</v>
      </c>
    </row>
    <row r="51" spans="1:3" x14ac:dyDescent="0.4">
      <c r="A51" s="54" t="s">
        <v>50</v>
      </c>
      <c r="B51" s="54" t="s">
        <v>35</v>
      </c>
      <c r="C51" s="54" t="s">
        <v>65</v>
      </c>
    </row>
    <row r="52" spans="1:3" x14ac:dyDescent="0.4">
      <c r="A52" s="54" t="s">
        <v>50</v>
      </c>
      <c r="B52" s="54" t="s">
        <v>35</v>
      </c>
      <c r="C52" s="54" t="s">
        <v>65</v>
      </c>
    </row>
    <row r="53" spans="1:3" x14ac:dyDescent="0.4">
      <c r="A53" s="54" t="s">
        <v>50</v>
      </c>
      <c r="B53" s="54" t="s">
        <v>35</v>
      </c>
      <c r="C53" s="54" t="s">
        <v>148</v>
      </c>
    </row>
    <row r="54" spans="1:3" x14ac:dyDescent="0.4">
      <c r="A54" s="54" t="s">
        <v>134</v>
      </c>
      <c r="B54" s="54" t="s">
        <v>9</v>
      </c>
      <c r="C54" s="54" t="s">
        <v>65</v>
      </c>
    </row>
    <row r="55" spans="1:3" x14ac:dyDescent="0.4">
      <c r="A55" s="54" t="s">
        <v>50</v>
      </c>
      <c r="B55" s="54" t="s">
        <v>35</v>
      </c>
      <c r="C55" s="54" t="s">
        <v>148</v>
      </c>
    </row>
    <row r="56" spans="1:3" x14ac:dyDescent="0.4">
      <c r="A56" s="54" t="s">
        <v>134</v>
      </c>
      <c r="B56" s="54" t="s">
        <v>35</v>
      </c>
      <c r="C56" s="54" t="s">
        <v>153</v>
      </c>
    </row>
    <row r="57" spans="1:3" ht="21" x14ac:dyDescent="0.15">
      <c r="A57" s="54" t="s" ph="1">
        <v>11</v>
      </c>
      <c r="B57" s="54" t="s">
        <v>4</v>
      </c>
      <c r="C57" s="54" t="s">
        <v>155</v>
      </c>
    </row>
    <row r="58" spans="1:3" x14ac:dyDescent="0.4">
      <c r="A58" s="54" t="s">
        <v>6</v>
      </c>
      <c r="B58" s="54" t="s">
        <v>4</v>
      </c>
      <c r="C58" s="54" t="s">
        <v>157</v>
      </c>
    </row>
    <row r="59" spans="1:3" x14ac:dyDescent="0.4">
      <c r="A59" s="54" t="s">
        <v>11</v>
      </c>
      <c r="B59" s="54" t="s">
        <v>10</v>
      </c>
      <c r="C59" s="54" t="s">
        <v>158</v>
      </c>
    </row>
    <row r="60" spans="1:3" x14ac:dyDescent="0.4">
      <c r="A60" s="54" t="s">
        <v>11</v>
      </c>
      <c r="B60" s="54" t="s">
        <v>10</v>
      </c>
      <c r="C60" s="54">
        <v>2</v>
      </c>
    </row>
    <row r="61" spans="1:3" x14ac:dyDescent="0.4">
      <c r="A61" s="54" t="s">
        <v>11</v>
      </c>
      <c r="B61" s="54" t="s">
        <v>10</v>
      </c>
      <c r="C61" s="54">
        <v>2</v>
      </c>
    </row>
    <row r="62" spans="1:3" x14ac:dyDescent="0.4">
      <c r="A62" s="54" t="s">
        <v>11</v>
      </c>
      <c r="B62" s="54" t="s">
        <v>10</v>
      </c>
      <c r="C62" s="54">
        <v>42</v>
      </c>
    </row>
  </sheetData>
  <autoFilter ref="A2:C2" xr:uid="{BD0A72EA-60DE-46E7-B122-2E795F5C6865}"/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18" customFormat="1" ht="35.25" customHeight="1" x14ac:dyDescent="0.4">
      <c r="A1" s="17" t="s">
        <v>99</v>
      </c>
      <c r="B1" s="17" t="s">
        <v>14</v>
      </c>
    </row>
    <row r="2" spans="1:2" ht="13.5" x14ac:dyDescent="0.4">
      <c r="A2" s="37" t="s">
        <v>29</v>
      </c>
      <c r="B2" s="37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/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57395-B7E7-4DE7-8233-377F5FF2173E}">
  <sheetPr codeName="Sheet10">
    <tabColor rgb="FFFFC000"/>
  </sheetPr>
  <dimension ref="A1:F11"/>
  <sheetViews>
    <sheetView workbookViewId="0"/>
  </sheetViews>
  <sheetFormatPr defaultRowHeight="12" x14ac:dyDescent="0.4"/>
  <cols>
    <col min="1" max="1" width="4.75" style="54" bestFit="1" customWidth="1"/>
    <col min="2" max="2" width="24" style="54" bestFit="1" customWidth="1"/>
    <col min="3" max="5" width="7.375" style="54" bestFit="1" customWidth="1"/>
    <col min="6" max="6" width="27.625" style="54" bestFit="1" customWidth="1"/>
    <col min="7" max="16384" width="9" style="54"/>
  </cols>
  <sheetData>
    <row r="1" spans="1:6" x14ac:dyDescent="0.4">
      <c r="C1" s="58" t="s">
        <v>58</v>
      </c>
      <c r="D1" s="58"/>
      <c r="E1" s="58"/>
    </row>
    <row r="2" spans="1:6" ht="24" x14ac:dyDescent="0.4">
      <c r="A2" s="59"/>
      <c r="B2" s="59" t="s">
        <v>51</v>
      </c>
      <c r="C2" s="60" t="s">
        <v>59</v>
      </c>
      <c r="D2" s="60" t="s">
        <v>60</v>
      </c>
      <c r="E2" s="60" t="s">
        <v>61</v>
      </c>
    </row>
    <row r="3" spans="1:6" x14ac:dyDescent="0.4">
      <c r="A3" s="38" t="s">
        <v>54</v>
      </c>
      <c r="B3" s="38" t="s">
        <v>55</v>
      </c>
      <c r="C3" s="57">
        <v>95</v>
      </c>
      <c r="D3" s="57">
        <v>65</v>
      </c>
      <c r="E3" s="57">
        <v>65</v>
      </c>
      <c r="F3" s="61" t="str">
        <f>$A$3&amp;$B$3</f>
        <v>国語知識・技能</v>
      </c>
    </row>
    <row r="4" spans="1:6" x14ac:dyDescent="0.4">
      <c r="A4" s="38" t="s">
        <v>54</v>
      </c>
      <c r="B4" s="38" t="s">
        <v>47</v>
      </c>
      <c r="C4" s="57">
        <v>90</v>
      </c>
      <c r="D4" s="57">
        <v>50</v>
      </c>
      <c r="E4" s="57">
        <v>50</v>
      </c>
      <c r="F4" s="61" t="str">
        <f>$A$4&amp;$B$4</f>
        <v>国語思考・判断・表現</v>
      </c>
    </row>
    <row r="5" spans="1:6" x14ac:dyDescent="0.4">
      <c r="A5" s="38" t="s">
        <v>54</v>
      </c>
      <c r="B5" s="38" t="s">
        <v>48</v>
      </c>
      <c r="C5" s="57"/>
      <c r="D5" s="57"/>
      <c r="E5" s="57"/>
      <c r="F5" s="61" t="str">
        <f>$A$5&amp;$B$5</f>
        <v>国語主体的に学習に取り組む態度</v>
      </c>
    </row>
    <row r="6" spans="1:6" x14ac:dyDescent="0.4">
      <c r="A6" s="38" t="s">
        <v>56</v>
      </c>
      <c r="B6" s="38" t="s">
        <v>55</v>
      </c>
      <c r="C6" s="57">
        <v>95</v>
      </c>
      <c r="D6" s="57">
        <v>65</v>
      </c>
      <c r="E6" s="57">
        <v>65</v>
      </c>
      <c r="F6" s="61" t="str">
        <f>$A$6&amp;$B$6</f>
        <v>算数知識・技能</v>
      </c>
    </row>
    <row r="7" spans="1:6" x14ac:dyDescent="0.4">
      <c r="A7" s="38" t="s">
        <v>56</v>
      </c>
      <c r="B7" s="38" t="s">
        <v>47</v>
      </c>
      <c r="C7" s="57">
        <v>90</v>
      </c>
      <c r="D7" s="57">
        <v>50</v>
      </c>
      <c r="E7" s="57">
        <v>50</v>
      </c>
      <c r="F7" s="61" t="str">
        <f>$A$7&amp;$B$7</f>
        <v>算数思考・判断・表現</v>
      </c>
    </row>
    <row r="8" spans="1:6" x14ac:dyDescent="0.4">
      <c r="A8" s="38" t="s">
        <v>56</v>
      </c>
      <c r="B8" s="38" t="s">
        <v>48</v>
      </c>
      <c r="C8" s="57"/>
      <c r="D8" s="57"/>
      <c r="E8" s="57"/>
      <c r="F8" s="61" t="str">
        <f>$A$8&amp;$B$8</f>
        <v>算数主体的に学習に取り組む態度</v>
      </c>
    </row>
    <row r="9" spans="1:6" x14ac:dyDescent="0.4">
      <c r="A9" s="38" t="s">
        <v>57</v>
      </c>
      <c r="B9" s="38" t="s">
        <v>55</v>
      </c>
      <c r="C9" s="57"/>
      <c r="D9" s="57"/>
      <c r="E9" s="57"/>
      <c r="F9" s="61" t="str">
        <f>$A$9&amp;$B$9</f>
        <v>理科知識・技能</v>
      </c>
    </row>
    <row r="10" spans="1:6" x14ac:dyDescent="0.4">
      <c r="A10" s="38" t="s">
        <v>57</v>
      </c>
      <c r="B10" s="38" t="s">
        <v>47</v>
      </c>
      <c r="C10" s="57"/>
      <c r="D10" s="57"/>
      <c r="E10" s="57"/>
      <c r="F10" s="61" t="str">
        <f>$A$10&amp;$B$10</f>
        <v>理科思考・判断・表現</v>
      </c>
    </row>
    <row r="11" spans="1:6" x14ac:dyDescent="0.4">
      <c r="A11" s="38" t="s">
        <v>57</v>
      </c>
      <c r="B11" s="38" t="s">
        <v>48</v>
      </c>
      <c r="C11" s="57"/>
      <c r="D11" s="57"/>
      <c r="E11" s="57"/>
      <c r="F11" s="61" t="str">
        <f>$A$11&amp;$B$11</f>
        <v>理科主体的に学習に取り組む態度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B79A-00A6-4D0F-97A0-E3BB4E3A0961}">
  <sheetPr codeName="Sheet9">
    <tabColor rgb="FFE07CCD"/>
  </sheetPr>
  <dimension ref="B1:T56"/>
  <sheetViews>
    <sheetView workbookViewId="0"/>
  </sheetViews>
  <sheetFormatPr defaultRowHeight="12" x14ac:dyDescent="0.4"/>
  <cols>
    <col min="1" max="1" width="3.125" style="54" customWidth="1"/>
    <col min="2" max="2" width="6.75" style="54" bestFit="1" customWidth="1"/>
    <col min="3" max="3" width="18.625" style="54" customWidth="1"/>
    <col min="4" max="4" width="6.75" style="54" bestFit="1" customWidth="1"/>
    <col min="5" max="5" width="15" style="54" bestFit="1" customWidth="1"/>
    <col min="6" max="6" width="6.75" style="54" bestFit="1" customWidth="1"/>
    <col min="7" max="8" width="4.375" style="54" bestFit="1" customWidth="1"/>
    <col min="9" max="9" width="15" style="54" bestFit="1" customWidth="1"/>
    <col min="10" max="10" width="6.75" style="54" bestFit="1" customWidth="1"/>
    <col min="11" max="12" width="4.375" style="54" bestFit="1" customWidth="1"/>
    <col min="13" max="13" width="15" style="54" bestFit="1" customWidth="1"/>
    <col min="14" max="14" width="6.75" style="54" bestFit="1" customWidth="1"/>
    <col min="15" max="16" width="4.375" style="54" bestFit="1" customWidth="1"/>
    <col min="17" max="17" width="6.75" style="54" bestFit="1" customWidth="1"/>
    <col min="18" max="16384" width="9" style="54"/>
  </cols>
  <sheetData>
    <row r="1" spans="2:20" x14ac:dyDescent="0.4">
      <c r="E1" s="28" t="s">
        <v>62</v>
      </c>
      <c r="F1" s="28"/>
      <c r="G1" s="28"/>
      <c r="H1" s="28"/>
      <c r="I1" s="27" t="s">
        <v>64</v>
      </c>
      <c r="J1" s="28"/>
      <c r="K1" s="28"/>
      <c r="L1" s="28"/>
      <c r="M1" s="27" t="s">
        <v>44</v>
      </c>
      <c r="N1" s="28"/>
      <c r="O1" s="28"/>
      <c r="P1" s="28"/>
      <c r="Q1" s="29"/>
    </row>
    <row r="2" spans="2:20" x14ac:dyDescent="0.4">
      <c r="B2" s="23" t="s">
        <v>0</v>
      </c>
      <c r="C2" s="30" t="s">
        <v>19</v>
      </c>
      <c r="D2" s="23" t="s">
        <v>43</v>
      </c>
      <c r="E2" s="31" t="s">
        <v>51</v>
      </c>
      <c r="F2" s="26" t="s">
        <v>45</v>
      </c>
      <c r="G2" s="26" t="s">
        <v>52</v>
      </c>
      <c r="H2" s="26" t="s">
        <v>53</v>
      </c>
      <c r="I2" s="26" t="s">
        <v>51</v>
      </c>
      <c r="J2" s="26" t="s">
        <v>45</v>
      </c>
      <c r="K2" s="26" t="s">
        <v>52</v>
      </c>
      <c r="L2" s="26" t="s">
        <v>53</v>
      </c>
      <c r="M2" s="26" t="s">
        <v>51</v>
      </c>
      <c r="N2" s="26" t="s">
        <v>45</v>
      </c>
      <c r="O2" s="26" t="s">
        <v>52</v>
      </c>
      <c r="P2" s="26" t="s">
        <v>53</v>
      </c>
      <c r="Q2" s="26" t="s">
        <v>63</v>
      </c>
    </row>
    <row r="3" spans="2:20" x14ac:dyDescent="0.4">
      <c r="B3" s="25" t="s">
        <v>6</v>
      </c>
      <c r="C3" s="25" t="s">
        <v>15</v>
      </c>
      <c r="D3" s="56"/>
      <c r="E3" s="57" t="s">
        <v>47</v>
      </c>
      <c r="F3" s="57"/>
      <c r="G3" s="57"/>
      <c r="H3" s="57"/>
      <c r="I3" s="57" t="s">
        <v>35</v>
      </c>
      <c r="J3" s="57"/>
      <c r="K3" s="57"/>
      <c r="L3" s="57"/>
      <c r="M3" s="57" t="s">
        <v>9</v>
      </c>
      <c r="N3" s="57"/>
      <c r="O3" s="57"/>
      <c r="P3" s="57"/>
      <c r="Q3" s="57"/>
      <c r="R3" s="55" t="str">
        <f>$B$3&amp;$C$3&amp;$E$3</f>
        <v>国語ウナギの謎を追って思考・判断・表現</v>
      </c>
      <c r="S3" s="55" t="str">
        <f>$B$3&amp;$C$3&amp;$I$3</f>
        <v>国語ウナギの謎を追って知識・技能</v>
      </c>
      <c r="T3" s="55" t="str">
        <f>$B$3&amp;$C$3&amp;$M$3</f>
        <v>国語ウナギの謎を追って思考・判断・表現</v>
      </c>
    </row>
    <row r="4" spans="2:20" x14ac:dyDescent="0.4">
      <c r="B4" s="25" t="s">
        <v>6</v>
      </c>
      <c r="C4" s="25" t="s">
        <v>7</v>
      </c>
      <c r="D4" s="57"/>
      <c r="E4" s="57" t="s">
        <v>55</v>
      </c>
      <c r="F4" s="57"/>
      <c r="G4" s="57"/>
      <c r="H4" s="57"/>
      <c r="I4" s="57" t="s">
        <v>9</v>
      </c>
      <c r="J4" s="57"/>
      <c r="K4" s="57"/>
      <c r="L4" s="57"/>
      <c r="M4" s="57"/>
      <c r="N4" s="57"/>
      <c r="O4" s="57"/>
      <c r="P4" s="57"/>
      <c r="Q4" s="57"/>
      <c r="R4" s="55" t="str">
        <f>$B$4&amp;$C$4&amp;$E$4</f>
        <v>国語初雪の降る日知識・技能</v>
      </c>
      <c r="S4" s="55" t="str">
        <f>$B$4&amp;$C$4&amp;$I$4</f>
        <v>国語初雪の降る日思考・判断・表現</v>
      </c>
      <c r="T4" s="55" t="str">
        <f>$B$4&amp;$C$4&amp;$M$4</f>
        <v>国語初雪の降る日</v>
      </c>
    </row>
    <row r="5" spans="2:20" x14ac:dyDescent="0.4">
      <c r="B5" s="25" t="s">
        <v>6</v>
      </c>
      <c r="C5" s="25" t="s">
        <v>5</v>
      </c>
      <c r="D5" s="57"/>
      <c r="E5" s="57" t="s">
        <v>55</v>
      </c>
      <c r="F5" s="57"/>
      <c r="G5" s="57"/>
      <c r="H5" s="57"/>
      <c r="I5" s="57" t="s">
        <v>9</v>
      </c>
      <c r="J5" s="57"/>
      <c r="K5" s="57"/>
      <c r="L5" s="57"/>
      <c r="M5" s="57"/>
      <c r="N5" s="57"/>
      <c r="O5" s="57"/>
      <c r="P5" s="57"/>
      <c r="Q5" s="57"/>
      <c r="R5" s="55" t="str">
        <f>$B$5&amp;$C$5&amp;$E$5</f>
        <v>国語もしもの時に備えよう知識・技能</v>
      </c>
      <c r="S5" s="55" t="str">
        <f>$B$5&amp;$C$5&amp;$I$5</f>
        <v>国語もしもの時に備えよう思考・判断・表現</v>
      </c>
      <c r="T5" s="55" t="str">
        <f>$B$5&amp;$C$5&amp;$M$5</f>
        <v>国語もしもの時に備えよう</v>
      </c>
    </row>
    <row r="6" spans="2:20" x14ac:dyDescent="0.4">
      <c r="B6" s="25" t="s">
        <v>6</v>
      </c>
      <c r="C6" s="25" t="s">
        <v>17</v>
      </c>
      <c r="D6" s="57"/>
      <c r="E6" s="57" t="s">
        <v>55</v>
      </c>
      <c r="F6" s="57">
        <v>100</v>
      </c>
      <c r="G6" s="57">
        <v>95</v>
      </c>
      <c r="H6" s="57">
        <v>65</v>
      </c>
      <c r="I6" s="57" t="s">
        <v>47</v>
      </c>
      <c r="J6" s="57">
        <v>100</v>
      </c>
      <c r="K6" s="57">
        <v>95</v>
      </c>
      <c r="L6" s="57">
        <v>65</v>
      </c>
      <c r="M6" s="57"/>
      <c r="N6" s="57">
        <v>100</v>
      </c>
      <c r="O6" s="57">
        <v>95</v>
      </c>
      <c r="P6" s="57">
        <v>65</v>
      </c>
      <c r="Q6" s="57"/>
      <c r="R6" s="55" t="str">
        <f>$B$6&amp;$C$6&amp;$E$6</f>
        <v>国語話すこと・聞くこと②知識・技能</v>
      </c>
      <c r="S6" s="55" t="str">
        <f>$B$6&amp;$C$6&amp;$I$6</f>
        <v>国語話すこと・聞くこと②思考・判断・表現</v>
      </c>
      <c r="T6" s="55" t="str">
        <f>$B$6&amp;$C$6&amp;$M$6</f>
        <v>国語話すこと・聞くこと②</v>
      </c>
    </row>
    <row r="7" spans="2:20" x14ac:dyDescent="0.4">
      <c r="B7" s="25" t="s">
        <v>6</v>
      </c>
      <c r="C7" s="25" t="s">
        <v>16</v>
      </c>
      <c r="D7" s="57"/>
      <c r="E7" s="57" t="s">
        <v>55</v>
      </c>
      <c r="F7" s="57">
        <v>100</v>
      </c>
      <c r="G7" s="57">
        <v>95</v>
      </c>
      <c r="H7" s="57">
        <v>65</v>
      </c>
      <c r="I7" s="57" t="s">
        <v>55</v>
      </c>
      <c r="J7" s="57">
        <v>100</v>
      </c>
      <c r="K7" s="57">
        <v>95</v>
      </c>
      <c r="L7" s="57">
        <v>65</v>
      </c>
      <c r="M7" s="57" t="s">
        <v>47</v>
      </c>
      <c r="N7" s="57">
        <v>100</v>
      </c>
      <c r="O7" s="57">
        <v>95</v>
      </c>
      <c r="P7" s="57">
        <v>65</v>
      </c>
      <c r="Q7" s="57"/>
      <c r="R7" s="55" t="str">
        <f>$B$7&amp;$C$7&amp;$E$7</f>
        <v>国語漢字の確かめ⑤知識・技能</v>
      </c>
      <c r="S7" s="55" t="str">
        <f>$B$7&amp;$C$7&amp;$I$7</f>
        <v>国語漢字の確かめ⑤知識・技能</v>
      </c>
      <c r="T7" s="55" t="str">
        <f>$B$7&amp;$C$7&amp;$M$7</f>
        <v>国語漢字の確かめ⑤思考・判断・表現</v>
      </c>
    </row>
    <row r="8" spans="2:20" x14ac:dyDescent="0.4">
      <c r="B8" s="25" t="s">
        <v>6</v>
      </c>
      <c r="C8" s="25" t="s">
        <v>8</v>
      </c>
      <c r="D8" s="57"/>
      <c r="E8" s="57" t="s">
        <v>55</v>
      </c>
      <c r="F8" s="57">
        <v>100</v>
      </c>
      <c r="G8" s="57">
        <v>95</v>
      </c>
      <c r="H8" s="57">
        <v>65</v>
      </c>
      <c r="I8" s="57" t="s">
        <v>55</v>
      </c>
      <c r="J8" s="57">
        <v>100</v>
      </c>
      <c r="K8" s="57">
        <v>95</v>
      </c>
      <c r="L8" s="57">
        <v>65</v>
      </c>
      <c r="M8" s="57" t="s">
        <v>9</v>
      </c>
      <c r="N8" s="57">
        <v>100</v>
      </c>
      <c r="O8" s="57">
        <v>95</v>
      </c>
      <c r="P8" s="57">
        <v>65</v>
      </c>
      <c r="Q8" s="57"/>
      <c r="R8" s="55" t="str">
        <f>$B$8&amp;$C$8&amp;$E$8</f>
        <v>国語4年のまとめ知識・技能</v>
      </c>
      <c r="S8" s="55" t="str">
        <f>$B$8&amp;$C$8&amp;$I$8</f>
        <v>国語4年のまとめ知識・技能</v>
      </c>
      <c r="T8" s="55" t="str">
        <f>$B$8&amp;$C$8&amp;$M$8</f>
        <v>国語4年のまとめ思考・判断・表現</v>
      </c>
    </row>
    <row r="9" spans="2:20" x14ac:dyDescent="0.4">
      <c r="B9" s="25" t="s">
        <v>6</v>
      </c>
      <c r="C9" s="25" t="s">
        <v>157</v>
      </c>
      <c r="D9" s="57"/>
      <c r="E9" s="57" t="s">
        <v>35</v>
      </c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5" t="str">
        <f>$B$9&amp;$C$9&amp;$E$9</f>
        <v>国語y知識・技能</v>
      </c>
      <c r="S9" s="55" t="str">
        <f>$B$9&amp;$C$9&amp;$I$9</f>
        <v>国語y</v>
      </c>
      <c r="T9" s="55" t="str">
        <f>$B$9&amp;$C$9&amp;$M$9</f>
        <v>国語y</v>
      </c>
    </row>
    <row r="10" spans="2:20" x14ac:dyDescent="0.4">
      <c r="B10" s="25" t="s">
        <v>11</v>
      </c>
      <c r="C10" s="25" t="s">
        <v>15</v>
      </c>
      <c r="D10" s="57"/>
      <c r="E10" s="57" t="s">
        <v>55</v>
      </c>
      <c r="F10" s="57">
        <v>100</v>
      </c>
      <c r="G10" s="57">
        <v>95</v>
      </c>
      <c r="H10" s="57">
        <v>65</v>
      </c>
      <c r="I10" s="57" t="s">
        <v>55</v>
      </c>
      <c r="J10" s="57">
        <v>100</v>
      </c>
      <c r="K10" s="57">
        <v>95</v>
      </c>
      <c r="L10" s="57">
        <v>65</v>
      </c>
      <c r="M10" s="57" t="s">
        <v>9</v>
      </c>
      <c r="N10" s="57">
        <v>100</v>
      </c>
      <c r="O10" s="57">
        <v>95</v>
      </c>
      <c r="P10" s="57">
        <v>65</v>
      </c>
      <c r="Q10" s="57"/>
      <c r="R10" s="55" t="str">
        <f>$B$10&amp;$C$10&amp;$E$10</f>
        <v>算数ウナギの謎を追って知識・技能</v>
      </c>
      <c r="S10" s="55" t="str">
        <f>$B$10&amp;$C$10&amp;$I$10</f>
        <v>算数ウナギの謎を追って知識・技能</v>
      </c>
      <c r="T10" s="55" t="str">
        <f>$B$10&amp;$C$10&amp;$M$10</f>
        <v>算数ウナギの謎を追って思考・判断・表現</v>
      </c>
    </row>
    <row r="11" spans="2:20" x14ac:dyDescent="0.4">
      <c r="B11" s="25" t="s">
        <v>11</v>
      </c>
      <c r="C11" s="25" t="s">
        <v>7</v>
      </c>
      <c r="D11" s="57"/>
      <c r="E11" s="57" t="s">
        <v>47</v>
      </c>
      <c r="F11" s="57">
        <v>100</v>
      </c>
      <c r="G11" s="57">
        <v>95</v>
      </c>
      <c r="H11" s="57">
        <v>65</v>
      </c>
      <c r="I11" s="57" t="s">
        <v>35</v>
      </c>
      <c r="J11" s="57">
        <v>100</v>
      </c>
      <c r="K11" s="57">
        <v>95</v>
      </c>
      <c r="L11" s="57">
        <v>65</v>
      </c>
      <c r="M11" s="57" t="s">
        <v>9</v>
      </c>
      <c r="N11" s="57">
        <v>100</v>
      </c>
      <c r="O11" s="57">
        <v>95</v>
      </c>
      <c r="P11" s="57">
        <v>65</v>
      </c>
      <c r="Q11" s="57"/>
      <c r="R11" s="55" t="str">
        <f>$B$11&amp;$C$11&amp;$E$11</f>
        <v>算数初雪の降る日思考・判断・表現</v>
      </c>
      <c r="S11" s="55" t="str">
        <f>$B$11&amp;$C$11&amp;$I$11</f>
        <v>算数初雪の降る日知識・技能</v>
      </c>
      <c r="T11" s="55" t="str">
        <f>$B$11&amp;$C$11&amp;$M$11</f>
        <v>算数初雪の降る日思考・判断・表現</v>
      </c>
    </row>
    <row r="12" spans="2:20" x14ac:dyDescent="0.4">
      <c r="B12" s="25" t="s">
        <v>11</v>
      </c>
      <c r="C12" s="25" t="s">
        <v>5</v>
      </c>
      <c r="D12" s="57"/>
      <c r="E12" s="57" t="s">
        <v>55</v>
      </c>
      <c r="F12" s="57">
        <v>100</v>
      </c>
      <c r="G12" s="57">
        <v>95</v>
      </c>
      <c r="H12" s="57">
        <v>65</v>
      </c>
      <c r="I12" s="57" t="s">
        <v>55</v>
      </c>
      <c r="J12" s="57">
        <v>100</v>
      </c>
      <c r="K12" s="57">
        <v>95</v>
      </c>
      <c r="L12" s="57">
        <v>65</v>
      </c>
      <c r="M12" s="57" t="s">
        <v>9</v>
      </c>
      <c r="N12" s="57">
        <v>100</v>
      </c>
      <c r="O12" s="57">
        <v>95</v>
      </c>
      <c r="P12" s="57">
        <v>65</v>
      </c>
      <c r="Q12" s="57"/>
      <c r="R12" s="55" t="str">
        <f>$B$12&amp;$C$12&amp;$E$12</f>
        <v>算数もしもの時に備えよう知識・技能</v>
      </c>
      <c r="S12" s="55" t="str">
        <f>$B$12&amp;$C$12&amp;$I$12</f>
        <v>算数もしもの時に備えよう知識・技能</v>
      </c>
      <c r="T12" s="55" t="str">
        <f>$B$12&amp;$C$12&amp;$M$12</f>
        <v>算数もしもの時に備えよう思考・判断・表現</v>
      </c>
    </row>
    <row r="13" spans="2:20" x14ac:dyDescent="0.4">
      <c r="B13" s="25" t="s">
        <v>11</v>
      </c>
      <c r="C13" s="25" t="s">
        <v>17</v>
      </c>
      <c r="D13" s="57"/>
      <c r="E13" s="57" t="s">
        <v>55</v>
      </c>
      <c r="F13" s="57">
        <v>100</v>
      </c>
      <c r="G13" s="57">
        <v>95</v>
      </c>
      <c r="H13" s="57">
        <v>65</v>
      </c>
      <c r="I13" s="57" t="s">
        <v>47</v>
      </c>
      <c r="J13" s="57">
        <v>100</v>
      </c>
      <c r="K13" s="57">
        <v>95</v>
      </c>
      <c r="L13" s="57">
        <v>65</v>
      </c>
      <c r="M13" s="57" t="s">
        <v>47</v>
      </c>
      <c r="N13" s="57">
        <v>100</v>
      </c>
      <c r="O13" s="57">
        <v>95</v>
      </c>
      <c r="P13" s="57">
        <v>65</v>
      </c>
      <c r="Q13" s="57"/>
      <c r="R13" s="55" t="str">
        <f>$B$13&amp;$C$13&amp;$E$13</f>
        <v>算数話すこと・聞くこと②知識・技能</v>
      </c>
      <c r="S13" s="55" t="str">
        <f>$B$13&amp;$C$13&amp;$I$13</f>
        <v>算数話すこと・聞くこと②思考・判断・表現</v>
      </c>
      <c r="T13" s="55" t="str">
        <f>$B$13&amp;$C$13&amp;$M$13</f>
        <v>算数話すこと・聞くこと②思考・判断・表現</v>
      </c>
    </row>
    <row r="14" spans="2:20" x14ac:dyDescent="0.4">
      <c r="B14" s="25" t="s">
        <v>11</v>
      </c>
      <c r="C14" s="25" t="s">
        <v>16</v>
      </c>
      <c r="D14" s="57"/>
      <c r="E14" s="57" t="s">
        <v>55</v>
      </c>
      <c r="F14" s="57">
        <v>100</v>
      </c>
      <c r="G14" s="57">
        <v>95</v>
      </c>
      <c r="H14" s="57">
        <v>65</v>
      </c>
      <c r="I14" s="57" t="s">
        <v>55</v>
      </c>
      <c r="J14" s="57">
        <v>100</v>
      </c>
      <c r="K14" s="57">
        <v>95</v>
      </c>
      <c r="L14" s="57">
        <v>65</v>
      </c>
      <c r="M14" s="57" t="s">
        <v>47</v>
      </c>
      <c r="N14" s="57">
        <v>100</v>
      </c>
      <c r="O14" s="57">
        <v>95</v>
      </c>
      <c r="P14" s="57">
        <v>65</v>
      </c>
      <c r="Q14" s="57"/>
      <c r="R14" s="55" t="str">
        <f>$B$14&amp;$C$14&amp;$E$14</f>
        <v>算数漢字の確かめ⑤知識・技能</v>
      </c>
      <c r="S14" s="55" t="str">
        <f>$B$14&amp;$C$14&amp;$I$14</f>
        <v>算数漢字の確かめ⑤知識・技能</v>
      </c>
      <c r="T14" s="55" t="str">
        <f>$B$14&amp;$C$14&amp;$M$14</f>
        <v>算数漢字の確かめ⑤思考・判断・表現</v>
      </c>
    </row>
    <row r="15" spans="2:20" x14ac:dyDescent="0.4">
      <c r="B15" s="25" t="s">
        <v>11</v>
      </c>
      <c r="C15" s="25" t="s">
        <v>8</v>
      </c>
      <c r="D15" s="57"/>
      <c r="E15" s="57" t="s">
        <v>47</v>
      </c>
      <c r="F15" s="57">
        <v>100</v>
      </c>
      <c r="G15" s="57">
        <v>95</v>
      </c>
      <c r="H15" s="57">
        <v>65</v>
      </c>
      <c r="I15" s="57" t="s">
        <v>55</v>
      </c>
      <c r="J15" s="57">
        <v>100</v>
      </c>
      <c r="K15" s="57">
        <v>95</v>
      </c>
      <c r="L15" s="57">
        <v>65</v>
      </c>
      <c r="M15" s="57" t="s">
        <v>9</v>
      </c>
      <c r="N15" s="57">
        <v>100</v>
      </c>
      <c r="O15" s="57">
        <v>95</v>
      </c>
      <c r="P15" s="57">
        <v>65</v>
      </c>
      <c r="Q15" s="57"/>
      <c r="R15" s="55" t="str">
        <f>$B$15&amp;$C$15&amp;$E$15</f>
        <v>算数4年のまとめ思考・判断・表現</v>
      </c>
      <c r="S15" s="55" t="str">
        <f>$B$15&amp;$C$15&amp;$I$15</f>
        <v>算数4年のまとめ知識・技能</v>
      </c>
      <c r="T15" s="55" t="str">
        <f>$B$15&amp;$C$15&amp;$M$15</f>
        <v>算数4年のまとめ思考・判断・表現</v>
      </c>
    </row>
    <row r="16" spans="2:20" ht="21" x14ac:dyDescent="0.15">
      <c r="B16" s="25" t="s" ph="1">
        <v>11</v>
      </c>
      <c r="C16" s="25" t="s">
        <v>155</v>
      </c>
      <c r="D16" s="57"/>
      <c r="E16" s="57" t="s">
        <v>35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5" t="str">
        <f>$B$16&amp;$C$16&amp;$E$16</f>
        <v>算数x知識・技能</v>
      </c>
      <c r="S16" s="55" t="str">
        <f>$B$16&amp;$C$16&amp;$I$16</f>
        <v>算数x</v>
      </c>
      <c r="T16" s="55" t="str">
        <f>$B$16&amp;$C$16&amp;$M$16</f>
        <v>算数x</v>
      </c>
    </row>
    <row r="17" spans="2:20" x14ac:dyDescent="0.4">
      <c r="B17" s="25" t="s">
        <v>11</v>
      </c>
      <c r="C17" s="25" t="s">
        <v>158</v>
      </c>
      <c r="D17" s="57"/>
      <c r="E17" s="57" t="s">
        <v>9</v>
      </c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5" t="str">
        <f>$B$17&amp;$C$17&amp;$E$17</f>
        <v>算数う思考・判断・表現</v>
      </c>
      <c r="S17" s="55" t="str">
        <f>$B$17&amp;$C$17&amp;$I$17</f>
        <v>算数う</v>
      </c>
      <c r="T17" s="55" t="str">
        <f>$B$17&amp;$C$17&amp;$M$17</f>
        <v>算数う</v>
      </c>
    </row>
    <row r="18" spans="2:20" x14ac:dyDescent="0.4">
      <c r="B18" s="25" t="s">
        <v>11</v>
      </c>
      <c r="C18" s="25">
        <v>2</v>
      </c>
      <c r="D18" s="57"/>
      <c r="E18" s="57" t="s">
        <v>9</v>
      </c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5" t="str">
        <f>$B$18&amp;$C$18&amp;$E$18</f>
        <v>算数2思考・判断・表現</v>
      </c>
      <c r="S18" s="55" t="str">
        <f>$B$18&amp;$C$18&amp;$I$18</f>
        <v>算数2</v>
      </c>
      <c r="T18" s="55" t="str">
        <f>$B$18&amp;$C$18&amp;$M$18</f>
        <v>算数2</v>
      </c>
    </row>
    <row r="19" spans="2:20" x14ac:dyDescent="0.4">
      <c r="B19" s="25" t="s">
        <v>49</v>
      </c>
      <c r="C19" s="25" t="s">
        <v>15</v>
      </c>
      <c r="D19" s="57"/>
      <c r="E19" s="57" t="s">
        <v>55</v>
      </c>
      <c r="F19" s="57">
        <v>100</v>
      </c>
      <c r="G19" s="57">
        <v>95</v>
      </c>
      <c r="H19" s="57">
        <v>65</v>
      </c>
      <c r="I19" s="57" t="s">
        <v>55</v>
      </c>
      <c r="J19" s="57">
        <v>100</v>
      </c>
      <c r="K19" s="57">
        <v>95</v>
      </c>
      <c r="L19" s="57">
        <v>65</v>
      </c>
      <c r="M19" s="57" t="s">
        <v>47</v>
      </c>
      <c r="N19" s="57">
        <v>100</v>
      </c>
      <c r="O19" s="57">
        <v>95</v>
      </c>
      <c r="P19" s="57">
        <v>65</v>
      </c>
      <c r="Q19" s="57"/>
      <c r="R19" s="55" t="str">
        <f>$B$19&amp;$C$19&amp;$E$19</f>
        <v>理科ウナギの謎を追って知識・技能</v>
      </c>
      <c r="S19" s="55" t="str">
        <f>$B$19&amp;$C$19&amp;$I$19</f>
        <v>理科ウナギの謎を追って知識・技能</v>
      </c>
      <c r="T19" s="55" t="str">
        <f>$B$19&amp;$C$19&amp;$M$19</f>
        <v>理科ウナギの謎を追って思考・判断・表現</v>
      </c>
    </row>
    <row r="20" spans="2:20" x14ac:dyDescent="0.4">
      <c r="B20" s="25" t="s">
        <v>49</v>
      </c>
      <c r="C20" s="25" t="s">
        <v>5</v>
      </c>
      <c r="D20" s="57"/>
      <c r="E20" s="57" t="s">
        <v>55</v>
      </c>
      <c r="F20" s="57">
        <v>100</v>
      </c>
      <c r="G20" s="57">
        <v>95</v>
      </c>
      <c r="H20" s="57">
        <v>65</v>
      </c>
      <c r="I20" s="57" t="s">
        <v>47</v>
      </c>
      <c r="J20" s="57">
        <v>100</v>
      </c>
      <c r="K20" s="57">
        <v>95</v>
      </c>
      <c r="L20" s="57">
        <v>65</v>
      </c>
      <c r="M20" s="57"/>
      <c r="N20" s="57">
        <v>100</v>
      </c>
      <c r="O20" s="57">
        <v>95</v>
      </c>
      <c r="P20" s="57">
        <v>65</v>
      </c>
      <c r="Q20" s="57"/>
      <c r="R20" s="55" t="str">
        <f>$B$20&amp;$C$20&amp;$E$20</f>
        <v>理科もしもの時に備えよう知識・技能</v>
      </c>
      <c r="S20" s="55" t="str">
        <f>$B$20&amp;$C$20&amp;$I$20</f>
        <v>理科もしもの時に備えよう思考・判断・表現</v>
      </c>
      <c r="T20" s="55" t="str">
        <f>$B$20&amp;$C$20&amp;$M$20</f>
        <v>理科もしもの時に備えよう</v>
      </c>
    </row>
    <row r="21" spans="2:20" x14ac:dyDescent="0.4">
      <c r="B21" s="25" t="s">
        <v>49</v>
      </c>
      <c r="C21" s="25" t="s">
        <v>7</v>
      </c>
      <c r="D21" s="57"/>
      <c r="E21" s="57" t="s">
        <v>55</v>
      </c>
      <c r="F21" s="57">
        <v>100</v>
      </c>
      <c r="G21" s="57">
        <v>95</v>
      </c>
      <c r="H21" s="57">
        <v>65</v>
      </c>
      <c r="I21" s="57" t="s">
        <v>47</v>
      </c>
      <c r="J21" s="57">
        <v>100</v>
      </c>
      <c r="K21" s="57">
        <v>95</v>
      </c>
      <c r="L21" s="57">
        <v>65</v>
      </c>
      <c r="M21" s="57" t="s">
        <v>47</v>
      </c>
      <c r="N21" s="57">
        <v>100</v>
      </c>
      <c r="O21" s="57">
        <v>95</v>
      </c>
      <c r="P21" s="57">
        <v>65</v>
      </c>
      <c r="Q21" s="57"/>
      <c r="R21" s="55" t="str">
        <f>$B$21&amp;$C$21&amp;$E$21</f>
        <v>理科初雪の降る日知識・技能</v>
      </c>
      <c r="S21" s="55" t="str">
        <f>$B$21&amp;$C$21&amp;$I$21</f>
        <v>理科初雪の降る日思考・判断・表現</v>
      </c>
      <c r="T21" s="55" t="str">
        <f>$B$21&amp;$C$21&amp;$M$21</f>
        <v>理科初雪の降る日思考・判断・表現</v>
      </c>
    </row>
    <row r="22" spans="2:20" x14ac:dyDescent="0.4">
      <c r="B22" s="25" t="s">
        <v>49</v>
      </c>
      <c r="C22" s="25" t="s">
        <v>16</v>
      </c>
      <c r="D22" s="57"/>
      <c r="E22" s="57" t="s">
        <v>55</v>
      </c>
      <c r="F22" s="57">
        <v>100</v>
      </c>
      <c r="G22" s="57">
        <v>95</v>
      </c>
      <c r="H22" s="57">
        <v>65</v>
      </c>
      <c r="I22" s="57" t="s">
        <v>55</v>
      </c>
      <c r="J22" s="57">
        <v>100</v>
      </c>
      <c r="K22" s="57">
        <v>95</v>
      </c>
      <c r="L22" s="57">
        <v>65</v>
      </c>
      <c r="M22" s="57" t="s">
        <v>47</v>
      </c>
      <c r="N22" s="57">
        <v>100</v>
      </c>
      <c r="O22" s="57">
        <v>95</v>
      </c>
      <c r="P22" s="57">
        <v>65</v>
      </c>
      <c r="Q22" s="57"/>
      <c r="R22" s="55" t="str">
        <f>$B$22&amp;$C$22&amp;$E$22</f>
        <v>理科漢字の確かめ⑤知識・技能</v>
      </c>
      <c r="S22" s="55" t="str">
        <f>$B$22&amp;$C$22&amp;$I$22</f>
        <v>理科漢字の確かめ⑤知識・技能</v>
      </c>
      <c r="T22" s="55" t="str">
        <f>$B$22&amp;$C$22&amp;$M$22</f>
        <v>理科漢字の確かめ⑤思考・判断・表現</v>
      </c>
    </row>
    <row r="23" spans="2:20" x14ac:dyDescent="0.4">
      <c r="B23" s="25" t="s">
        <v>49</v>
      </c>
      <c r="C23" s="25" t="s">
        <v>8</v>
      </c>
      <c r="D23" s="57"/>
      <c r="E23" s="57" t="s">
        <v>55</v>
      </c>
      <c r="F23" s="57">
        <v>100</v>
      </c>
      <c r="G23" s="57">
        <v>95</v>
      </c>
      <c r="H23" s="57">
        <v>65</v>
      </c>
      <c r="I23" s="57" t="s">
        <v>47</v>
      </c>
      <c r="J23" s="57">
        <v>100</v>
      </c>
      <c r="K23" s="57">
        <v>95</v>
      </c>
      <c r="L23" s="57">
        <v>65</v>
      </c>
      <c r="M23" s="57" t="s">
        <v>47</v>
      </c>
      <c r="N23" s="57">
        <v>100</v>
      </c>
      <c r="O23" s="57">
        <v>95</v>
      </c>
      <c r="P23" s="57">
        <v>65</v>
      </c>
      <c r="Q23" s="57"/>
      <c r="R23" s="55" t="str">
        <f>$B$23&amp;$C$23&amp;$E$23</f>
        <v>理科4年のまとめ知識・技能</v>
      </c>
      <c r="S23" s="55" t="str">
        <f>$B$23&amp;$C$23&amp;$I$23</f>
        <v>理科4年のまとめ思考・判断・表現</v>
      </c>
      <c r="T23" s="55" t="str">
        <f>$B$23&amp;$C$23&amp;$M$23</f>
        <v>理科4年のまとめ思考・判断・表現</v>
      </c>
    </row>
    <row r="24" spans="2:20" x14ac:dyDescent="0.4">
      <c r="B24" s="25" t="s">
        <v>49</v>
      </c>
      <c r="C24" s="25" t="s">
        <v>17</v>
      </c>
      <c r="D24" s="57"/>
      <c r="E24" s="57" t="s">
        <v>47</v>
      </c>
      <c r="F24" s="57">
        <v>100</v>
      </c>
      <c r="G24" s="57">
        <v>95</v>
      </c>
      <c r="H24" s="57">
        <v>65</v>
      </c>
      <c r="I24" s="57" t="s">
        <v>55</v>
      </c>
      <c r="J24" s="57">
        <v>100</v>
      </c>
      <c r="K24" s="57">
        <v>95</v>
      </c>
      <c r="L24" s="57">
        <v>65</v>
      </c>
      <c r="M24" s="57" t="s">
        <v>47</v>
      </c>
      <c r="N24" s="57">
        <v>100</v>
      </c>
      <c r="O24" s="57">
        <v>95</v>
      </c>
      <c r="P24" s="57">
        <v>65</v>
      </c>
      <c r="Q24" s="57"/>
      <c r="R24" s="55" t="str">
        <f>$B$24&amp;$C$24&amp;$E$24</f>
        <v>理科話すこと・聞くこと②思考・判断・表現</v>
      </c>
      <c r="S24" s="55" t="str">
        <f>$B$24&amp;$C$24&amp;$I$24</f>
        <v>理科話すこと・聞くこと②知識・技能</v>
      </c>
      <c r="T24" s="55" t="str">
        <f>$B$24&amp;$C$24&amp;$M$24</f>
        <v>理科話すこと・聞くこと②思考・判断・表現</v>
      </c>
    </row>
    <row r="25" spans="2:20" ht="18.75" x14ac:dyDescent="0.4">
      <c r="B25"/>
      <c r="C25"/>
    </row>
    <row r="26" spans="2:20" ht="18.75" x14ac:dyDescent="0.4">
      <c r="B26"/>
      <c r="C26"/>
    </row>
    <row r="27" spans="2:20" ht="18.75" x14ac:dyDescent="0.4">
      <c r="B27"/>
      <c r="C27"/>
    </row>
    <row r="28" spans="2:20" ht="18.75" x14ac:dyDescent="0.4">
      <c r="B28"/>
      <c r="C28"/>
    </row>
    <row r="29" spans="2:20" ht="18.75" x14ac:dyDescent="0.4">
      <c r="B29"/>
      <c r="C29"/>
    </row>
    <row r="30" spans="2:20" ht="18.75" x14ac:dyDescent="0.4">
      <c r="B30"/>
      <c r="C30"/>
    </row>
    <row r="31" spans="2:20" ht="18.75" x14ac:dyDescent="0.4">
      <c r="B31"/>
      <c r="C31"/>
    </row>
    <row r="32" spans="2:20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  <row r="38" spans="2:3" ht="18.75" x14ac:dyDescent="0.4">
      <c r="B38"/>
      <c r="C38"/>
    </row>
    <row r="39" spans="2:3" ht="18.75" x14ac:dyDescent="0.4">
      <c r="B39"/>
      <c r="C39"/>
    </row>
    <row r="40" spans="2:3" ht="18.75" x14ac:dyDescent="0.4">
      <c r="B40"/>
      <c r="C40"/>
    </row>
    <row r="41" spans="2:3" ht="18.75" x14ac:dyDescent="0.4">
      <c r="B41"/>
      <c r="C41"/>
    </row>
    <row r="42" spans="2:3" ht="18.75" x14ac:dyDescent="0.4">
      <c r="B42"/>
      <c r="C42"/>
    </row>
    <row r="43" spans="2:3" ht="18.75" x14ac:dyDescent="0.4">
      <c r="B43"/>
      <c r="C43"/>
    </row>
    <row r="44" spans="2:3" ht="18.75" x14ac:dyDescent="0.4">
      <c r="B44"/>
      <c r="C44"/>
    </row>
    <row r="45" spans="2:3" ht="18.75" x14ac:dyDescent="0.4">
      <c r="B45"/>
      <c r="C45"/>
    </row>
    <row r="46" spans="2:3" ht="18.75" x14ac:dyDescent="0.4">
      <c r="B46"/>
      <c r="C46"/>
    </row>
    <row r="47" spans="2:3" ht="18.75" x14ac:dyDescent="0.4">
      <c r="B47"/>
      <c r="C47"/>
    </row>
    <row r="48" spans="2:3" ht="18.75" x14ac:dyDescent="0.4">
      <c r="B48"/>
      <c r="C48"/>
    </row>
    <row r="49" spans="2:3" ht="18.75" x14ac:dyDescent="0.4">
      <c r="B49"/>
      <c r="C49"/>
    </row>
    <row r="50" spans="2:3" ht="18.75" x14ac:dyDescent="0.4">
      <c r="B50"/>
      <c r="C50"/>
    </row>
    <row r="51" spans="2:3" ht="18.75" x14ac:dyDescent="0.4">
      <c r="B51"/>
      <c r="C51"/>
    </row>
    <row r="52" spans="2:3" ht="18.75" x14ac:dyDescent="0.4">
      <c r="B52"/>
      <c r="C52"/>
    </row>
    <row r="53" spans="2:3" ht="18.75" x14ac:dyDescent="0.4">
      <c r="B53"/>
      <c r="C53"/>
    </row>
    <row r="54" spans="2:3" ht="18.75" x14ac:dyDescent="0.4">
      <c r="B54"/>
      <c r="C54"/>
    </row>
    <row r="55" spans="2:3" ht="18.75" x14ac:dyDescent="0.4">
      <c r="B55"/>
      <c r="C55"/>
    </row>
    <row r="56" spans="2:3" ht="18.75" x14ac:dyDescent="0.4">
      <c r="B56"/>
      <c r="C56"/>
    </row>
  </sheetData>
  <autoFilter ref="B2:Q24" xr:uid="{658FB79A-00A6-4D0F-97A0-E3BB4E3A0961}">
    <sortState xmlns:xlrd2="http://schemas.microsoft.com/office/spreadsheetml/2017/richdata2" ref="B3:Q24">
      <sortCondition ref="B2"/>
    </sortState>
  </autoFilter>
  <sortState xmlns:xlrd2="http://schemas.microsoft.com/office/spreadsheetml/2017/richdata2" ref="B3:T23">
    <sortCondition ref="B2"/>
  </sortState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4B8D-AE54-486F-8467-8AB44E1977BA}">
  <sheetPr codeName="Sheet13"/>
  <dimension ref="A1:Z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J2" sqref="J2"/>
    </sheetView>
  </sheetViews>
  <sheetFormatPr defaultRowHeight="12" x14ac:dyDescent="0.4"/>
  <cols>
    <col min="1" max="2" width="9" style="13"/>
    <col min="3" max="26" width="4.375" style="13" customWidth="1"/>
    <col min="27" max="16384" width="9" style="13"/>
  </cols>
  <sheetData>
    <row r="1" spans="1:26" x14ac:dyDescent="0.4">
      <c r="B1" s="27" t="s">
        <v>21</v>
      </c>
      <c r="C1" s="50" t="s">
        <v>23</v>
      </c>
      <c r="D1" s="51"/>
      <c r="E1" s="52"/>
      <c r="F1" s="21" t="s">
        <v>35</v>
      </c>
      <c r="G1" s="21"/>
      <c r="H1" s="21"/>
      <c r="I1" s="21"/>
      <c r="J1" s="21"/>
      <c r="K1" s="21"/>
      <c r="L1" s="21"/>
      <c r="M1" s="22"/>
      <c r="N1" s="21" t="s">
        <v>9</v>
      </c>
      <c r="O1" s="21"/>
      <c r="P1" s="21"/>
      <c r="Q1" s="21"/>
      <c r="R1" s="21"/>
      <c r="S1" s="21"/>
      <c r="T1" s="21"/>
      <c r="U1" s="21"/>
      <c r="V1" s="22"/>
      <c r="W1" s="21" t="s">
        <v>39</v>
      </c>
      <c r="X1" s="21"/>
      <c r="Y1" s="21"/>
      <c r="Z1" s="22"/>
    </row>
    <row r="2" spans="1:26" ht="121.5" x14ac:dyDescent="0.4">
      <c r="B2" s="32" t="s">
        <v>22</v>
      </c>
      <c r="C2" s="35" t="s">
        <v>24</v>
      </c>
      <c r="D2" s="33" t="s">
        <v>25</v>
      </c>
      <c r="E2" s="33" t="s">
        <v>26</v>
      </c>
      <c r="F2" s="33" t="s">
        <v>40</v>
      </c>
      <c r="G2" s="33" t="s">
        <v>32</v>
      </c>
      <c r="H2" s="33" t="s">
        <v>31</v>
      </c>
      <c r="I2" s="33" t="s">
        <v>27</v>
      </c>
      <c r="J2" s="33" t="s">
        <v>41</v>
      </c>
      <c r="K2" s="35" t="s">
        <v>36</v>
      </c>
      <c r="L2" s="33" t="s">
        <v>37</v>
      </c>
      <c r="M2" s="33" t="s">
        <v>38</v>
      </c>
      <c r="N2" s="33" t="s">
        <v>40</v>
      </c>
      <c r="O2" s="33" t="s">
        <v>31</v>
      </c>
      <c r="P2" s="33" t="s">
        <v>32</v>
      </c>
      <c r="Q2" s="33" t="s">
        <v>31</v>
      </c>
      <c r="R2" s="33" t="s">
        <v>42</v>
      </c>
      <c r="S2" s="33" t="s">
        <v>41</v>
      </c>
      <c r="T2" s="35" t="s">
        <v>36</v>
      </c>
      <c r="U2" s="33" t="s">
        <v>37</v>
      </c>
      <c r="V2" s="33" t="s">
        <v>38</v>
      </c>
      <c r="W2" s="33" t="s">
        <v>40</v>
      </c>
      <c r="X2" s="35" t="s">
        <v>36</v>
      </c>
      <c r="Y2" s="33" t="s">
        <v>37</v>
      </c>
      <c r="Z2" s="33" t="s">
        <v>38</v>
      </c>
    </row>
    <row r="3" spans="1:26" x14ac:dyDescent="0.4">
      <c r="A3" s="34">
        <v>1</v>
      </c>
      <c r="B3" s="24" t="s">
        <v>45</v>
      </c>
      <c r="C3" s="29"/>
      <c r="D3" s="24"/>
      <c r="E3" s="24"/>
      <c r="F3" s="24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100</v>
      </c>
      <c r="G3" s="24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100</v>
      </c>
      <c r="H3" s="24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100</v>
      </c>
      <c r="I3" s="24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100</v>
      </c>
      <c r="J3" s="24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100</v>
      </c>
      <c r="K3" s="24" cm="1">
        <f t="array" aca="1" ref="K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100</v>
      </c>
      <c r="L3" s="24" t="str" cm="1">
        <f t="array" aca="1" ref="L3" ca="1">IF(K2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>A</v>
      </c>
      <c r="M3" s="24"/>
      <c r="N3" s="24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100</v>
      </c>
      <c r="O3" s="24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100</v>
      </c>
      <c r="P3" s="24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100</v>
      </c>
      <c r="Q3" s="24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100</v>
      </c>
      <c r="R3" s="24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100</v>
      </c>
      <c r="S3" s="24" cm="1">
        <f t="array" aca="1" ref="S3" ca="1">_xlfn.XLOOKUP(MID(CELL("filename",$A$1),FIND("]",CELL("filename",$A$1))+1,31)&amp;$S$2&amp;$N$1,採点基準_単元別!$R$3:$R$100000,採点基準_単元別!$F$3:$F$100000,_xlfn.XLOOKUP(MID(CELL("filename",$A$1),FIND("]",CELL("filename",$A$1))+1,31)&amp;$S$2&amp;$N$1,採点基準_単元別!$S$3:$S$100000,採点基準_単元別!$J$3:$J$100000,_xlfn.XLOOKUP(MID(CELL("filename",$A$1),FIND("]",CELL("filename",$A$1))+1,31)&amp;$S$2&amp;$N$1,採点基準_単元別!$T$3:$T$100000,採点基準_単元別!$N$3:$N$100000,"見つかりません")))</f>
        <v>100</v>
      </c>
      <c r="T3" s="24"/>
      <c r="U3" s="24"/>
      <c r="V3" s="24"/>
      <c r="W3" s="24" t="str" cm="1">
        <f t="array" aca="1" ref="W3" ca="1">_xlfn.XLOOKUP(MID(CELL("filename",$A$1),FIND("]",CELL("filename",$A$1))+1,31)&amp;$W$2&amp;$W$1,採点基準_単元別!$R$3:$R$100000,採点基準_単元別!$F$3:$F$100000,_xlfn.XLOOKUP(MID(CELL("filename",$A$1),FIND("]",CELL("filename",$A$1))+1,31)&amp;$W$2&amp;$W$1,採点基準_単元別!$S$3:$S$100000,採点基準_単元別!$J$3:$J$100000,_xlfn.XLOOKUP(MID(CELL("filename",$A$1),FIND("]",CELL("filename",$A$1))+1,31)&amp;$W$2&amp;$W$1,採点基準_単元別!$T$3:$T$100000,採点基準_単元別!$N$3:$N$100000,"見つかりません")))</f>
        <v>見つかりません</v>
      </c>
      <c r="X3" s="24"/>
      <c r="Y3" s="24"/>
      <c r="Z3" s="24"/>
    </row>
    <row r="4" spans="1:26" x14ac:dyDescent="0.4">
      <c r="A4" s="57">
        <v>2</v>
      </c>
      <c r="B4" s="41" t="s">
        <v>46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x14ac:dyDescent="0.4">
      <c r="A5" s="34">
        <v>1</v>
      </c>
      <c r="B5" s="34" t="s">
        <v>89</v>
      </c>
      <c r="C5" s="34"/>
      <c r="D5" s="34"/>
      <c r="E5" s="34"/>
      <c r="F5" s="34"/>
      <c r="G5" s="34"/>
      <c r="H5" s="34"/>
      <c r="I5" s="34"/>
      <c r="J5" s="34"/>
      <c r="K5" s="34" t="str">
        <f>IF(COUNTA(F5:J5)=0,"未入力",SUM(F5:J5))</f>
        <v>未入力</v>
      </c>
      <c r="L5" s="34" t="str">
        <f>IFERROR(ROUNDDOWN(K5/ (IF(F5= "",0,$F$3)+IF(G5= "",0,$G$3)+IF(H5= "",0,$H$3)+IF(I5= "",0,$I$3)+IF(J5= "",0,$J$3))*100,0),"")</f>
        <v/>
      </c>
      <c r="M5" s="34"/>
      <c r="N5" s="34"/>
      <c r="O5" s="34"/>
      <c r="P5" s="34"/>
      <c r="Q5" s="34"/>
      <c r="R5" s="34"/>
      <c r="S5" s="34"/>
      <c r="T5" s="34" t="str">
        <f>IF(COUNTA(N5:S5)=0,"未入力",SUM(N5:S5))</f>
        <v>未入力</v>
      </c>
      <c r="U5" s="34" t="str">
        <f>IFERROR(ROUNDDOWN(T5/ (IF(N5= "",0,$N$3)+IF(O5= "",0,$O$3)+IF(P5= "",0,$P$3)+IF(Q5= "",0,$Q$3)+IF(R5= "",0,$R$3)+IF(S5= "",0,$S$3))*100,0),"")</f>
        <v/>
      </c>
      <c r="V5" s="34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34"/>
      <c r="X5" s="34" t="str">
        <f>IF(COUNTA(W5)=0,"未入力",SUM(W5))</f>
        <v>未入力</v>
      </c>
      <c r="Y5" s="34" t="str">
        <f>IFERROR(ROUNDDOWN(X5/ (IF(W5= "",0,$W$3))*100,0),"")</f>
        <v/>
      </c>
      <c r="Z5" s="34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</row>
    <row r="6" spans="1:26" x14ac:dyDescent="0.4">
      <c r="A6" s="57">
        <v>2</v>
      </c>
      <c r="B6" s="57" t="s">
        <v>90</v>
      </c>
      <c r="C6" s="25"/>
      <c r="D6" s="25"/>
      <c r="E6" s="25"/>
      <c r="F6" s="25"/>
      <c r="G6" s="25"/>
      <c r="H6" s="25"/>
      <c r="I6" s="25"/>
      <c r="J6" s="25"/>
      <c r="K6" s="25" t="str">
        <f t="shared" ref="K6:K37" si="0">IF(COUNTA(F6:J6)=0,"未入力",SUM(F6:J6))</f>
        <v>未入力</v>
      </c>
      <c r="L6" s="25" t="str">
        <f t="shared" ref="L6:L37" si="1">IFERROR(ROUNDDOWN(K6/ (IF(F6= "",0,$F$3)+IF(G6= "",0,$G$3)+IF(H6= "",0,$H$3)+IF(I6= "",0,$I$3)+IF(J6= "",0,$J$3))*100,0),"")</f>
        <v/>
      </c>
      <c r="M6" s="25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25"/>
      <c r="O6" s="25"/>
      <c r="P6" s="25"/>
      <c r="Q6" s="25"/>
      <c r="R6" s="25"/>
      <c r="S6" s="25"/>
      <c r="T6" s="25" t="str">
        <f t="shared" ref="T6:T37" si="2">IF(COUNTA(N6:S6)=0,"未入力",SUM(N6:S6))</f>
        <v>未入力</v>
      </c>
      <c r="U6" s="25" t="str">
        <f t="shared" ref="U6:U37" si="3">IFERROR(ROUNDDOWN(T6/ (IF(N6= "",0,$N$3)+IF(O6= "",0,$O$3)+IF(P6= "",0,$P$3)+IF(Q6= "",0,$Q$3)+IF(R6= "",0,$R$3)+IF(S6= "",0,$S$3))*100,0),"")</f>
        <v/>
      </c>
      <c r="V6" s="25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25"/>
      <c r="X6" s="25" t="str">
        <f t="shared" ref="X6:X37" si="4">IF(COUNTA(W6)=0,"未入力",SUM(W6))</f>
        <v>未入力</v>
      </c>
      <c r="Y6" s="25" t="str">
        <f t="shared" ref="Y6:Y37" si="5">IFERROR(ROUNDDOWN(X6/ (IF(W6= "",0,$W$3))*100,0),"")</f>
        <v/>
      </c>
      <c r="Z6" s="25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</row>
    <row r="7" spans="1:26" x14ac:dyDescent="0.4">
      <c r="A7" s="34">
        <v>3</v>
      </c>
      <c r="B7" s="34" t="s">
        <v>89</v>
      </c>
      <c r="C7" s="34"/>
      <c r="D7" s="34"/>
      <c r="E7" s="34"/>
      <c r="F7" s="34"/>
      <c r="G7" s="34"/>
      <c r="H7" s="34"/>
      <c r="I7" s="34"/>
      <c r="J7" s="34"/>
      <c r="K7" s="34" t="str">
        <f t="shared" si="0"/>
        <v>未入力</v>
      </c>
      <c r="L7" s="34" t="str">
        <f t="shared" si="1"/>
        <v/>
      </c>
      <c r="M7" s="34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34"/>
      <c r="O7" s="34"/>
      <c r="P7" s="34"/>
      <c r="Q7" s="34"/>
      <c r="R7" s="34"/>
      <c r="S7" s="34"/>
      <c r="T7" s="34" t="str">
        <f t="shared" si="2"/>
        <v>未入力</v>
      </c>
      <c r="U7" s="34" t="str">
        <f t="shared" si="3"/>
        <v/>
      </c>
      <c r="V7" s="34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34"/>
      <c r="X7" s="34" t="str">
        <f t="shared" si="4"/>
        <v>未入力</v>
      </c>
      <c r="Y7" s="34" t="str">
        <f t="shared" si="5"/>
        <v/>
      </c>
      <c r="Z7" s="34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</row>
    <row r="8" spans="1:26" x14ac:dyDescent="0.4">
      <c r="A8" s="57">
        <v>4</v>
      </c>
      <c r="B8" s="57" t="s">
        <v>90</v>
      </c>
      <c r="C8" s="25"/>
      <c r="D8" s="25"/>
      <c r="E8" s="25"/>
      <c r="F8" s="25"/>
      <c r="G8" s="25"/>
      <c r="H8" s="25"/>
      <c r="I8" s="25"/>
      <c r="J8" s="25"/>
      <c r="K8" s="25" t="str">
        <f t="shared" si="0"/>
        <v>未入力</v>
      </c>
      <c r="L8" s="25" t="str">
        <f t="shared" si="1"/>
        <v/>
      </c>
      <c r="M8" s="25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25"/>
      <c r="O8" s="25"/>
      <c r="P8" s="25"/>
      <c r="Q8" s="25"/>
      <c r="R8" s="25"/>
      <c r="S8" s="25"/>
      <c r="T8" s="25" t="str">
        <f t="shared" si="2"/>
        <v>未入力</v>
      </c>
      <c r="U8" s="25" t="str">
        <f t="shared" si="3"/>
        <v/>
      </c>
      <c r="V8" s="25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25"/>
      <c r="X8" s="25" t="str">
        <f t="shared" si="4"/>
        <v>未入力</v>
      </c>
      <c r="Y8" s="25" t="str">
        <f t="shared" si="5"/>
        <v/>
      </c>
      <c r="Z8" s="25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</row>
    <row r="9" spans="1:26" x14ac:dyDescent="0.4">
      <c r="A9" s="34">
        <v>5</v>
      </c>
      <c r="B9" s="34" t="s">
        <v>89</v>
      </c>
      <c r="C9" s="34"/>
      <c r="D9" s="34"/>
      <c r="E9" s="34"/>
      <c r="F9" s="34"/>
      <c r="G9" s="34"/>
      <c r="H9" s="34"/>
      <c r="I9" s="34"/>
      <c r="J9" s="34"/>
      <c r="K9" s="34" t="str">
        <f t="shared" si="0"/>
        <v>未入力</v>
      </c>
      <c r="L9" s="34" t="str">
        <f t="shared" si="1"/>
        <v/>
      </c>
      <c r="M9" s="34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34"/>
      <c r="O9" s="34"/>
      <c r="P9" s="34"/>
      <c r="Q9" s="34"/>
      <c r="R9" s="34"/>
      <c r="S9" s="34"/>
      <c r="T9" s="34" t="str">
        <f t="shared" si="2"/>
        <v>未入力</v>
      </c>
      <c r="U9" s="34" t="str">
        <f t="shared" si="3"/>
        <v/>
      </c>
      <c r="V9" s="34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34"/>
      <c r="X9" s="34" t="str">
        <f t="shared" si="4"/>
        <v>未入力</v>
      </c>
      <c r="Y9" s="34" t="str">
        <f t="shared" si="5"/>
        <v/>
      </c>
      <c r="Z9" s="34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</row>
    <row r="10" spans="1:26" x14ac:dyDescent="0.4">
      <c r="A10" s="57">
        <v>6</v>
      </c>
      <c r="B10" s="57" t="s">
        <v>90</v>
      </c>
      <c r="C10" s="25"/>
      <c r="D10" s="25"/>
      <c r="E10" s="25"/>
      <c r="F10" s="25"/>
      <c r="G10" s="25"/>
      <c r="H10" s="25"/>
      <c r="I10" s="25"/>
      <c r="J10" s="25"/>
      <c r="K10" s="25" t="str">
        <f t="shared" si="0"/>
        <v>未入力</v>
      </c>
      <c r="L10" s="25" t="str">
        <f t="shared" si="1"/>
        <v/>
      </c>
      <c r="M10" s="25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25"/>
      <c r="O10" s="25"/>
      <c r="P10" s="25"/>
      <c r="Q10" s="25"/>
      <c r="R10" s="25"/>
      <c r="S10" s="25"/>
      <c r="T10" s="25" t="str">
        <f t="shared" si="2"/>
        <v>未入力</v>
      </c>
      <c r="U10" s="25" t="str">
        <f t="shared" si="3"/>
        <v/>
      </c>
      <c r="V10" s="25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25"/>
      <c r="X10" s="25" t="str">
        <f t="shared" si="4"/>
        <v>未入力</v>
      </c>
      <c r="Y10" s="25" t="str">
        <f t="shared" si="5"/>
        <v/>
      </c>
      <c r="Z10" s="25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</row>
    <row r="11" spans="1:26" x14ac:dyDescent="0.4">
      <c r="A11" s="34">
        <v>7</v>
      </c>
      <c r="B11" s="34" t="s">
        <v>90</v>
      </c>
      <c r="C11" s="34"/>
      <c r="D11" s="34"/>
      <c r="E11" s="34"/>
      <c r="F11" s="34"/>
      <c r="G11" s="34"/>
      <c r="H11" s="34"/>
      <c r="I11" s="34"/>
      <c r="J11" s="34"/>
      <c r="K11" s="34" t="str">
        <f t="shared" si="0"/>
        <v>未入力</v>
      </c>
      <c r="L11" s="34" t="str">
        <f t="shared" si="1"/>
        <v/>
      </c>
      <c r="M11" s="34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34"/>
      <c r="O11" s="34"/>
      <c r="P11" s="34"/>
      <c r="Q11" s="34"/>
      <c r="R11" s="34"/>
      <c r="S11" s="34"/>
      <c r="T11" s="34" t="str">
        <f t="shared" si="2"/>
        <v>未入力</v>
      </c>
      <c r="U11" s="34" t="str">
        <f t="shared" si="3"/>
        <v/>
      </c>
      <c r="V11" s="34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34"/>
      <c r="X11" s="34" t="str">
        <f t="shared" si="4"/>
        <v>未入力</v>
      </c>
      <c r="Y11" s="34" t="str">
        <f t="shared" si="5"/>
        <v/>
      </c>
      <c r="Z11" s="34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</row>
    <row r="12" spans="1:26" x14ac:dyDescent="0.4">
      <c r="A12" s="57">
        <v>8</v>
      </c>
      <c r="B12" s="57" t="s">
        <v>89</v>
      </c>
      <c r="C12" s="25"/>
      <c r="D12" s="25"/>
      <c r="E12" s="25"/>
      <c r="F12" s="25"/>
      <c r="G12" s="25"/>
      <c r="H12" s="25"/>
      <c r="I12" s="25"/>
      <c r="J12" s="25"/>
      <c r="K12" s="25" t="str">
        <f t="shared" si="0"/>
        <v>未入力</v>
      </c>
      <c r="L12" s="25" t="str">
        <f t="shared" si="1"/>
        <v/>
      </c>
      <c r="M12" s="25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25"/>
      <c r="O12" s="25"/>
      <c r="P12" s="25"/>
      <c r="Q12" s="25"/>
      <c r="R12" s="25"/>
      <c r="S12" s="25"/>
      <c r="T12" s="25" t="str">
        <f t="shared" si="2"/>
        <v>未入力</v>
      </c>
      <c r="U12" s="25" t="str">
        <f t="shared" si="3"/>
        <v/>
      </c>
      <c r="V12" s="25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25"/>
      <c r="X12" s="25" t="str">
        <f t="shared" si="4"/>
        <v>未入力</v>
      </c>
      <c r="Y12" s="25" t="str">
        <f t="shared" si="5"/>
        <v/>
      </c>
      <c r="Z12" s="25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</row>
    <row r="13" spans="1:26" x14ac:dyDescent="0.4">
      <c r="A13" s="34">
        <v>9</v>
      </c>
      <c r="B13" s="34" t="s">
        <v>90</v>
      </c>
      <c r="C13" s="34"/>
      <c r="D13" s="34"/>
      <c r="E13" s="34"/>
      <c r="F13" s="34"/>
      <c r="G13" s="34"/>
      <c r="H13" s="34"/>
      <c r="I13" s="34"/>
      <c r="J13" s="34"/>
      <c r="K13" s="34" t="str">
        <f t="shared" si="0"/>
        <v>未入力</v>
      </c>
      <c r="L13" s="34" t="str">
        <f t="shared" si="1"/>
        <v/>
      </c>
      <c r="M13" s="34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34"/>
      <c r="O13" s="34"/>
      <c r="P13" s="34"/>
      <c r="Q13" s="34"/>
      <c r="R13" s="34"/>
      <c r="S13" s="34"/>
      <c r="T13" s="34" t="str">
        <f t="shared" si="2"/>
        <v>未入力</v>
      </c>
      <c r="U13" s="34" t="str">
        <f t="shared" si="3"/>
        <v/>
      </c>
      <c r="V13" s="34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34"/>
      <c r="X13" s="34" t="str">
        <f t="shared" si="4"/>
        <v>未入力</v>
      </c>
      <c r="Y13" s="34" t="str">
        <f t="shared" si="5"/>
        <v/>
      </c>
      <c r="Z13" s="34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</row>
    <row r="14" spans="1:26" x14ac:dyDescent="0.4">
      <c r="A14" s="57">
        <v>10</v>
      </c>
      <c r="B14" s="57" t="s">
        <v>89</v>
      </c>
      <c r="C14" s="25"/>
      <c r="D14" s="25"/>
      <c r="E14" s="25"/>
      <c r="F14" s="25"/>
      <c r="G14" s="25"/>
      <c r="H14" s="25"/>
      <c r="I14" s="25"/>
      <c r="J14" s="25"/>
      <c r="K14" s="25" t="str">
        <f t="shared" si="0"/>
        <v>未入力</v>
      </c>
      <c r="L14" s="25" t="str">
        <f t="shared" si="1"/>
        <v/>
      </c>
      <c r="M14" s="25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25"/>
      <c r="O14" s="25"/>
      <c r="P14" s="25"/>
      <c r="Q14" s="25"/>
      <c r="R14" s="25"/>
      <c r="S14" s="25"/>
      <c r="T14" s="25" t="str">
        <f t="shared" si="2"/>
        <v>未入力</v>
      </c>
      <c r="U14" s="25" t="str">
        <f t="shared" si="3"/>
        <v/>
      </c>
      <c r="V14" s="25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25"/>
      <c r="X14" s="25" t="str">
        <f t="shared" si="4"/>
        <v>未入力</v>
      </c>
      <c r="Y14" s="25" t="str">
        <f t="shared" si="5"/>
        <v/>
      </c>
      <c r="Z14" s="25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</row>
    <row r="15" spans="1:26" x14ac:dyDescent="0.4">
      <c r="A15" s="34">
        <v>11</v>
      </c>
      <c r="B15" s="34" t="s">
        <v>90</v>
      </c>
      <c r="C15" s="34"/>
      <c r="D15" s="34"/>
      <c r="E15" s="34"/>
      <c r="F15" s="34"/>
      <c r="G15" s="34"/>
      <c r="H15" s="34"/>
      <c r="I15" s="34"/>
      <c r="J15" s="34"/>
      <c r="K15" s="34" t="str">
        <f t="shared" si="0"/>
        <v>未入力</v>
      </c>
      <c r="L15" s="34" t="str">
        <f t="shared" si="1"/>
        <v/>
      </c>
      <c r="M15" s="34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34"/>
      <c r="O15" s="34"/>
      <c r="P15" s="34"/>
      <c r="Q15" s="34"/>
      <c r="R15" s="34"/>
      <c r="S15" s="34"/>
      <c r="T15" s="34" t="str">
        <f t="shared" si="2"/>
        <v>未入力</v>
      </c>
      <c r="U15" s="34" t="str">
        <f t="shared" si="3"/>
        <v/>
      </c>
      <c r="V15" s="34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34"/>
      <c r="X15" s="34" t="str">
        <f t="shared" si="4"/>
        <v>未入力</v>
      </c>
      <c r="Y15" s="34" t="str">
        <f t="shared" si="5"/>
        <v/>
      </c>
      <c r="Z15" s="34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</row>
    <row r="16" spans="1:26" x14ac:dyDescent="0.4">
      <c r="A16" s="57">
        <v>12</v>
      </c>
      <c r="B16" s="57" t="s">
        <v>90</v>
      </c>
      <c r="C16" s="25"/>
      <c r="D16" s="25"/>
      <c r="E16" s="25"/>
      <c r="F16" s="25"/>
      <c r="G16" s="25"/>
      <c r="H16" s="25"/>
      <c r="I16" s="25"/>
      <c r="J16" s="25"/>
      <c r="K16" s="25" t="str">
        <f t="shared" si="0"/>
        <v>未入力</v>
      </c>
      <c r="L16" s="25" t="str">
        <f t="shared" si="1"/>
        <v/>
      </c>
      <c r="M16" s="25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25"/>
      <c r="O16" s="25"/>
      <c r="P16" s="25"/>
      <c r="Q16" s="25"/>
      <c r="R16" s="25"/>
      <c r="S16" s="25"/>
      <c r="T16" s="25" t="str">
        <f t="shared" si="2"/>
        <v>未入力</v>
      </c>
      <c r="U16" s="25" t="str">
        <f t="shared" si="3"/>
        <v/>
      </c>
      <c r="V16" s="25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25"/>
      <c r="X16" s="25" t="str">
        <f t="shared" si="4"/>
        <v>未入力</v>
      </c>
      <c r="Y16" s="25" t="str">
        <f t="shared" si="5"/>
        <v/>
      </c>
      <c r="Z16" s="25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</row>
    <row r="17" spans="1:26" x14ac:dyDescent="0.4">
      <c r="A17" s="34">
        <v>13</v>
      </c>
      <c r="B17" s="34" t="s">
        <v>89</v>
      </c>
      <c r="C17" s="34"/>
      <c r="D17" s="34"/>
      <c r="E17" s="34"/>
      <c r="F17" s="34"/>
      <c r="G17" s="34"/>
      <c r="H17" s="34"/>
      <c r="I17" s="34"/>
      <c r="J17" s="34"/>
      <c r="K17" s="34" t="str">
        <f t="shared" si="0"/>
        <v>未入力</v>
      </c>
      <c r="L17" s="34" t="str">
        <f t="shared" si="1"/>
        <v/>
      </c>
      <c r="M17" s="34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34"/>
      <c r="O17" s="34"/>
      <c r="P17" s="34"/>
      <c r="Q17" s="34"/>
      <c r="R17" s="34"/>
      <c r="S17" s="34"/>
      <c r="T17" s="34" t="str">
        <f t="shared" si="2"/>
        <v>未入力</v>
      </c>
      <c r="U17" s="34" t="str">
        <f t="shared" si="3"/>
        <v/>
      </c>
      <c r="V17" s="34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34"/>
      <c r="X17" s="34" t="str">
        <f t="shared" si="4"/>
        <v>未入力</v>
      </c>
      <c r="Y17" s="34" t="str">
        <f t="shared" si="5"/>
        <v/>
      </c>
      <c r="Z17" s="34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</row>
    <row r="18" spans="1:26" x14ac:dyDescent="0.4">
      <c r="A18" s="57">
        <v>14</v>
      </c>
      <c r="B18" s="57" t="s">
        <v>90</v>
      </c>
      <c r="C18" s="25"/>
      <c r="D18" s="25"/>
      <c r="E18" s="25"/>
      <c r="F18" s="25"/>
      <c r="G18" s="25"/>
      <c r="H18" s="25"/>
      <c r="I18" s="25"/>
      <c r="J18" s="25"/>
      <c r="K18" s="25" t="str">
        <f t="shared" si="0"/>
        <v>未入力</v>
      </c>
      <c r="L18" s="25" t="str">
        <f t="shared" si="1"/>
        <v/>
      </c>
      <c r="M18" s="25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25"/>
      <c r="O18" s="25"/>
      <c r="P18" s="25"/>
      <c r="Q18" s="25"/>
      <c r="R18" s="25"/>
      <c r="S18" s="25"/>
      <c r="T18" s="25" t="str">
        <f t="shared" si="2"/>
        <v>未入力</v>
      </c>
      <c r="U18" s="25" t="str">
        <f t="shared" si="3"/>
        <v/>
      </c>
      <c r="V18" s="25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25"/>
      <c r="X18" s="25" t="str">
        <f t="shared" si="4"/>
        <v>未入力</v>
      </c>
      <c r="Y18" s="25" t="str">
        <f t="shared" si="5"/>
        <v/>
      </c>
      <c r="Z18" s="25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</row>
    <row r="19" spans="1:26" x14ac:dyDescent="0.4">
      <c r="A19" s="34">
        <v>15</v>
      </c>
      <c r="B19" s="34" t="s">
        <v>89</v>
      </c>
      <c r="C19" s="34"/>
      <c r="D19" s="34"/>
      <c r="E19" s="34"/>
      <c r="F19" s="34"/>
      <c r="G19" s="34"/>
      <c r="H19" s="34"/>
      <c r="I19" s="34"/>
      <c r="J19" s="34"/>
      <c r="K19" s="34" t="str">
        <f t="shared" si="0"/>
        <v>未入力</v>
      </c>
      <c r="L19" s="34" t="str">
        <f t="shared" si="1"/>
        <v/>
      </c>
      <c r="M19" s="34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34"/>
      <c r="O19" s="34"/>
      <c r="P19" s="34"/>
      <c r="Q19" s="34"/>
      <c r="R19" s="34"/>
      <c r="S19" s="34"/>
      <c r="T19" s="34" t="str">
        <f t="shared" si="2"/>
        <v>未入力</v>
      </c>
      <c r="U19" s="34" t="str">
        <f t="shared" si="3"/>
        <v/>
      </c>
      <c r="V19" s="34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34"/>
      <c r="X19" s="34" t="str">
        <f t="shared" si="4"/>
        <v>未入力</v>
      </c>
      <c r="Y19" s="34" t="str">
        <f t="shared" si="5"/>
        <v/>
      </c>
      <c r="Z19" s="34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</row>
    <row r="20" spans="1:26" x14ac:dyDescent="0.4">
      <c r="A20" s="57">
        <v>16</v>
      </c>
      <c r="B20" s="57" t="s">
        <v>90</v>
      </c>
      <c r="C20" s="25"/>
      <c r="D20" s="25"/>
      <c r="E20" s="25"/>
      <c r="F20" s="25"/>
      <c r="G20" s="25"/>
      <c r="H20" s="25"/>
      <c r="I20" s="25"/>
      <c r="J20" s="25"/>
      <c r="K20" s="25" t="str">
        <f t="shared" si="0"/>
        <v>未入力</v>
      </c>
      <c r="L20" s="25" t="str">
        <f t="shared" si="1"/>
        <v/>
      </c>
      <c r="M20" s="25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25"/>
      <c r="O20" s="25"/>
      <c r="P20" s="25"/>
      <c r="Q20" s="25"/>
      <c r="R20" s="25"/>
      <c r="S20" s="25"/>
      <c r="T20" s="25" t="str">
        <f t="shared" si="2"/>
        <v>未入力</v>
      </c>
      <c r="U20" s="25" t="str">
        <f t="shared" si="3"/>
        <v/>
      </c>
      <c r="V20" s="25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25"/>
      <c r="X20" s="25" t="str">
        <f t="shared" si="4"/>
        <v>未入力</v>
      </c>
      <c r="Y20" s="25" t="str">
        <f t="shared" si="5"/>
        <v/>
      </c>
      <c r="Z20" s="25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</row>
    <row r="21" spans="1:26" x14ac:dyDescent="0.4">
      <c r="A21" s="34">
        <v>17</v>
      </c>
      <c r="B21" s="34" t="s">
        <v>90</v>
      </c>
      <c r="C21" s="34"/>
      <c r="D21" s="34"/>
      <c r="E21" s="34"/>
      <c r="F21" s="34"/>
      <c r="G21" s="34"/>
      <c r="H21" s="34"/>
      <c r="I21" s="34"/>
      <c r="J21" s="34"/>
      <c r="K21" s="34" t="str">
        <f t="shared" si="0"/>
        <v>未入力</v>
      </c>
      <c r="L21" s="34" t="str">
        <f t="shared" si="1"/>
        <v/>
      </c>
      <c r="M21" s="34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34"/>
      <c r="O21" s="34"/>
      <c r="P21" s="34"/>
      <c r="Q21" s="34"/>
      <c r="R21" s="34"/>
      <c r="S21" s="34"/>
      <c r="T21" s="34" t="str">
        <f t="shared" si="2"/>
        <v>未入力</v>
      </c>
      <c r="U21" s="34" t="str">
        <f t="shared" si="3"/>
        <v/>
      </c>
      <c r="V21" s="34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34"/>
      <c r="X21" s="34" t="str">
        <f t="shared" si="4"/>
        <v>未入力</v>
      </c>
      <c r="Y21" s="34" t="str">
        <f t="shared" si="5"/>
        <v/>
      </c>
      <c r="Z21" s="34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</row>
    <row r="22" spans="1:26" x14ac:dyDescent="0.4">
      <c r="A22" s="57">
        <v>18</v>
      </c>
      <c r="B22" s="57" t="s">
        <v>89</v>
      </c>
      <c r="C22" s="25"/>
      <c r="D22" s="25"/>
      <c r="E22" s="25"/>
      <c r="F22" s="25"/>
      <c r="G22" s="25"/>
      <c r="H22" s="25"/>
      <c r="I22" s="25"/>
      <c r="J22" s="25"/>
      <c r="K22" s="25" t="str">
        <f t="shared" si="0"/>
        <v>未入力</v>
      </c>
      <c r="L22" s="25" t="str">
        <f t="shared" si="1"/>
        <v/>
      </c>
      <c r="M22" s="25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25"/>
      <c r="O22" s="25"/>
      <c r="P22" s="25"/>
      <c r="Q22" s="25"/>
      <c r="R22" s="25"/>
      <c r="S22" s="25"/>
      <c r="T22" s="25" t="str">
        <f t="shared" si="2"/>
        <v>未入力</v>
      </c>
      <c r="U22" s="25" t="str">
        <f t="shared" si="3"/>
        <v/>
      </c>
      <c r="V22" s="25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25"/>
      <c r="X22" s="25" t="str">
        <f t="shared" si="4"/>
        <v>未入力</v>
      </c>
      <c r="Y22" s="25" t="str">
        <f t="shared" si="5"/>
        <v/>
      </c>
      <c r="Z22" s="25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</row>
    <row r="23" spans="1:26" x14ac:dyDescent="0.4">
      <c r="A23" s="34">
        <v>19</v>
      </c>
      <c r="B23" s="34" t="s">
        <v>90</v>
      </c>
      <c r="C23" s="34"/>
      <c r="D23" s="34"/>
      <c r="E23" s="34"/>
      <c r="F23" s="34"/>
      <c r="G23" s="34"/>
      <c r="H23" s="34"/>
      <c r="I23" s="34"/>
      <c r="J23" s="34"/>
      <c r="K23" s="34" t="str">
        <f t="shared" si="0"/>
        <v>未入力</v>
      </c>
      <c r="L23" s="34" t="str">
        <f t="shared" si="1"/>
        <v/>
      </c>
      <c r="M23" s="34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34"/>
      <c r="O23" s="34"/>
      <c r="P23" s="34"/>
      <c r="Q23" s="34"/>
      <c r="R23" s="34"/>
      <c r="S23" s="34"/>
      <c r="T23" s="34" t="str">
        <f t="shared" si="2"/>
        <v>未入力</v>
      </c>
      <c r="U23" s="34" t="str">
        <f t="shared" si="3"/>
        <v/>
      </c>
      <c r="V23" s="34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34"/>
      <c r="X23" s="34" t="str">
        <f t="shared" si="4"/>
        <v>未入力</v>
      </c>
      <c r="Y23" s="34" t="str">
        <f t="shared" si="5"/>
        <v/>
      </c>
      <c r="Z23" s="34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</row>
    <row r="24" spans="1:26" x14ac:dyDescent="0.4">
      <c r="A24" s="57">
        <v>20</v>
      </c>
      <c r="B24" s="57" t="s">
        <v>89</v>
      </c>
      <c r="C24" s="25"/>
      <c r="D24" s="25"/>
      <c r="E24" s="25"/>
      <c r="F24" s="25"/>
      <c r="G24" s="25"/>
      <c r="H24" s="25"/>
      <c r="I24" s="25"/>
      <c r="J24" s="25"/>
      <c r="K24" s="25" t="str">
        <f t="shared" si="0"/>
        <v>未入力</v>
      </c>
      <c r="L24" s="25" t="str">
        <f t="shared" si="1"/>
        <v/>
      </c>
      <c r="M24" s="25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25"/>
      <c r="O24" s="25"/>
      <c r="P24" s="25"/>
      <c r="Q24" s="25"/>
      <c r="R24" s="25"/>
      <c r="S24" s="25"/>
      <c r="T24" s="25" t="str">
        <f t="shared" si="2"/>
        <v>未入力</v>
      </c>
      <c r="U24" s="25" t="str">
        <f t="shared" si="3"/>
        <v/>
      </c>
      <c r="V24" s="25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25"/>
      <c r="X24" s="25" t="str">
        <f t="shared" si="4"/>
        <v>未入力</v>
      </c>
      <c r="Y24" s="25" t="str">
        <f t="shared" si="5"/>
        <v/>
      </c>
      <c r="Z24" s="25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</row>
    <row r="25" spans="1:26" x14ac:dyDescent="0.4">
      <c r="A25" s="34"/>
      <c r="B25" s="34" t="s">
        <v>90</v>
      </c>
      <c r="C25" s="34"/>
      <c r="D25" s="34"/>
      <c r="E25" s="34"/>
      <c r="F25" s="34"/>
      <c r="G25" s="34"/>
      <c r="H25" s="34"/>
      <c r="I25" s="34"/>
      <c r="J25" s="34"/>
      <c r="K25" s="34" t="str">
        <f t="shared" si="0"/>
        <v>未入力</v>
      </c>
      <c r="L25" s="34" t="str">
        <f t="shared" si="1"/>
        <v/>
      </c>
      <c r="M25" s="34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34"/>
      <c r="O25" s="34"/>
      <c r="P25" s="34"/>
      <c r="Q25" s="34"/>
      <c r="R25" s="34"/>
      <c r="S25" s="34"/>
      <c r="T25" s="34" t="str">
        <f t="shared" si="2"/>
        <v>未入力</v>
      </c>
      <c r="U25" s="34" t="str">
        <f t="shared" si="3"/>
        <v/>
      </c>
      <c r="V25" s="34" t="str" cm="1">
        <f t="array" aca="1" ref="V25" ca="1">IF(U25 = "","",IF(U25&gt;=INDEX(採点基準_観点別!$C$3:$C$1000,_xlfn.XMATCH(MID(CELL("filename",$A$1),FIND("]",CELL("filename",$A$1))+1,31)&amp;$F$1,採点基準_観点別!$F$3:$F$1000)),"A",IF(U25&gt;=INDEX(採点基準_観点別!$D$3:$D$1000,_xlfn.XMATCH(MID(CELL("filename",$A$1),FIND("]",CELL("filename",$A$1))+1,31)&amp;$F$1,採点基準_観点別!$F$3:$F$1000)),"B",IF(U25&lt;=INDEX(採点基準_観点別!$E$3:$E$1000,_xlfn.XMATCH(MID(CELL("filename",$A$1),FIND("]",CELL("filename",$A$1))+1,31)&amp;$F$1,採点基準_観点別!$F$3:$F$1000)),"C","採点基準が不正です"))))</f>
        <v/>
      </c>
      <c r="W25" s="34"/>
      <c r="X25" s="34" t="str">
        <f t="shared" si="4"/>
        <v>未入力</v>
      </c>
      <c r="Y25" s="34" t="str">
        <f t="shared" si="5"/>
        <v/>
      </c>
      <c r="Z25" s="34" t="str" cm="1">
        <f t="array" aca="1" ref="Z25" ca="1">IF(Y25 = "","",IF(Y25&gt;=INDEX(採点基準_観点別!$C$3:$C$1000,_xlfn.XMATCH(MID(CELL("filename",$A$1),FIND("]",CELL("filename",$A$1))+1,31)&amp;$F$1,採点基準_観点別!$F$3:$F$1000)),"A",IF(Y25&gt;=INDEX(採点基準_観点別!$D$3:$D$1000,_xlfn.XMATCH(MID(CELL("filename",$A$1),FIND("]",CELL("filename",$A$1))+1,31)&amp;$F$1,採点基準_観点別!$F$3:$F$1000)),"B",IF(Y25&lt;=INDEX(採点基準_観点別!$E$3:$E$1000,_xlfn.XMATCH(MID(CELL("filename",$A$1),FIND("]",CELL("filename",$A$1))+1,31)&amp;$F$1,採点基準_観点別!$F$3:$F$1000)),"C","採点基準が不正です"))))</f>
        <v/>
      </c>
    </row>
    <row r="26" spans="1:26" x14ac:dyDescent="0.4">
      <c r="A26" s="25">
        <v>14</v>
      </c>
      <c r="B26" s="25" t="s">
        <v>2</v>
      </c>
      <c r="C26" s="25"/>
      <c r="D26" s="25"/>
      <c r="E26" s="25"/>
      <c r="F26" s="25"/>
      <c r="G26" s="25"/>
      <c r="H26" s="25"/>
      <c r="I26" s="25"/>
      <c r="J26" s="25"/>
      <c r="K26" s="25" t="str">
        <f t="shared" si="0"/>
        <v>未入力</v>
      </c>
      <c r="L26" s="25" t="str">
        <f t="shared" si="1"/>
        <v/>
      </c>
      <c r="M26" s="25" t="str" cm="1">
        <f t="array" aca="1" ref="M26" ca="1">IF(L26 = "","",IF(L26&gt;=INDEX(採点基準_観点別!$C$3:$C$1000,_xlfn.XMATCH(MID(CELL("filename",$A$1),FIND("]",CELL("filename",$A$1))+1,31)&amp;$F$1,採点基準_観点別!$F$3:$F$1000)),"A",IF(L26&gt;=INDEX(採点基準_観点別!$D$3:$D$1000,_xlfn.XMATCH(MID(CELL("filename",$A$1),FIND("]",CELL("filename",$A$1))+1,31)&amp;$F$1,採点基準_観点別!$F$3:$F$1000)),"B",IF(L26&lt;=INDEX(採点基準_観点別!$E$3:$E$1000,_xlfn.XMATCH(MID(CELL("filename",$A$1),FIND("]",CELL("filename",$A$1))+1,31)&amp;$F$1,採点基準_観点別!$F$3:$F$1000)),"C","採点基準が不正です"))))</f>
        <v/>
      </c>
      <c r="N26" s="25"/>
      <c r="O26" s="25"/>
      <c r="P26" s="25"/>
      <c r="Q26" s="25"/>
      <c r="R26" s="25"/>
      <c r="S26" s="25"/>
      <c r="T26" s="25" t="str">
        <f t="shared" si="2"/>
        <v>未入力</v>
      </c>
      <c r="U26" s="25" t="str">
        <f t="shared" si="3"/>
        <v/>
      </c>
      <c r="V26" s="25" t="str" cm="1">
        <f t="array" aca="1" ref="V26" ca="1">IF(U26 = "","",IF(U26&gt;=INDEX(採点基準_観点別!$C$3:$C$1000,_xlfn.XMATCH(MID(CELL("filename",$A$1),FIND("]",CELL("filename",$A$1))+1,31)&amp;$F$1,採点基準_観点別!$F$3:$F$1000)),"A",IF(U26&gt;=INDEX(採点基準_観点別!$D$3:$D$1000,_xlfn.XMATCH(MID(CELL("filename",$A$1),FIND("]",CELL("filename",$A$1))+1,31)&amp;$F$1,採点基準_観点別!$F$3:$F$1000)),"B",IF(U26&lt;=INDEX(採点基準_観点別!$E$3:$E$1000,_xlfn.XMATCH(MID(CELL("filename",$A$1),FIND("]",CELL("filename",$A$1))+1,31)&amp;$F$1,採点基準_観点別!$F$3:$F$1000)),"C","採点基準が不正です"))))</f>
        <v/>
      </c>
      <c r="W26" s="25"/>
      <c r="X26" s="25" t="str">
        <f t="shared" si="4"/>
        <v>未入力</v>
      </c>
      <c r="Y26" s="25" t="str">
        <f t="shared" si="5"/>
        <v/>
      </c>
      <c r="Z26" s="25" t="str" cm="1">
        <f t="array" aca="1" ref="Z26" ca="1">IF(Y26 = "","",IF(Y26&gt;=INDEX(採点基準_観点別!$C$3:$C$1000,_xlfn.XMATCH(MID(CELL("filename",$A$1),FIND("]",CELL("filename",$A$1))+1,31)&amp;$F$1,採点基準_観点別!$F$3:$F$1000)),"A",IF(Y26&gt;=INDEX(採点基準_観点別!$D$3:$D$1000,_xlfn.XMATCH(MID(CELL("filename",$A$1),FIND("]",CELL("filename",$A$1))+1,31)&amp;$F$1,採点基準_観点別!$F$3:$F$1000)),"B",IF(Y26&lt;=INDEX(採点基準_観点別!$E$3:$E$1000,_xlfn.XMATCH(MID(CELL("filename",$A$1),FIND("]",CELL("filename",$A$1))+1,31)&amp;$F$1,採点基準_観点別!$F$3:$F$1000)),"C","採点基準が不正です"))))</f>
        <v/>
      </c>
    </row>
    <row r="27" spans="1:26" x14ac:dyDescent="0.4">
      <c r="A27" s="34">
        <v>14</v>
      </c>
      <c r="B27" s="34" t="s">
        <v>2</v>
      </c>
      <c r="C27" s="34"/>
      <c r="D27" s="34"/>
      <c r="E27" s="34"/>
      <c r="F27" s="34"/>
      <c r="G27" s="34"/>
      <c r="H27" s="34"/>
      <c r="I27" s="34"/>
      <c r="J27" s="34"/>
      <c r="K27" s="34" t="str">
        <f t="shared" si="0"/>
        <v>未入力</v>
      </c>
      <c r="L27" s="34" t="str">
        <f t="shared" si="1"/>
        <v/>
      </c>
      <c r="M27" s="34" t="str" cm="1">
        <f t="array" aca="1" ref="M27" ca="1">IF(L27 = "","",IF(L27&gt;=INDEX(採点基準_観点別!$C$3:$C$1000,_xlfn.XMATCH(MID(CELL("filename",$A$1),FIND("]",CELL("filename",$A$1))+1,31)&amp;$F$1,採点基準_観点別!$F$3:$F$1000)),"A",IF(L27&gt;=INDEX(採点基準_観点別!$D$3:$D$1000,_xlfn.XMATCH(MID(CELL("filename",$A$1),FIND("]",CELL("filename",$A$1))+1,31)&amp;$F$1,採点基準_観点別!$F$3:$F$1000)),"B",IF(L27&lt;=INDEX(採点基準_観点別!$E$3:$E$1000,_xlfn.XMATCH(MID(CELL("filename",$A$1),FIND("]",CELL("filename",$A$1))+1,31)&amp;$F$1,採点基準_観点別!$F$3:$F$1000)),"C","採点基準が不正です"))))</f>
        <v/>
      </c>
      <c r="N27" s="34"/>
      <c r="O27" s="34"/>
      <c r="P27" s="34"/>
      <c r="Q27" s="34"/>
      <c r="R27" s="34"/>
      <c r="S27" s="34"/>
      <c r="T27" s="34" t="str">
        <f t="shared" si="2"/>
        <v>未入力</v>
      </c>
      <c r="U27" s="34" t="str">
        <f t="shared" si="3"/>
        <v/>
      </c>
      <c r="V27" s="34" t="str" cm="1">
        <f t="array" aca="1" ref="V27" ca="1">IF(U27 = "","",IF(U27&gt;=INDEX(採点基準_観点別!$C$3:$C$1000,_xlfn.XMATCH(MID(CELL("filename",$A$1),FIND("]",CELL("filename",$A$1))+1,31)&amp;$F$1,採点基準_観点別!$F$3:$F$1000)),"A",IF(U27&gt;=INDEX(採点基準_観点別!$D$3:$D$1000,_xlfn.XMATCH(MID(CELL("filename",$A$1),FIND("]",CELL("filename",$A$1))+1,31)&amp;$F$1,採点基準_観点別!$F$3:$F$1000)),"B",IF(U27&lt;=INDEX(採点基準_観点別!$E$3:$E$1000,_xlfn.XMATCH(MID(CELL("filename",$A$1),FIND("]",CELL("filename",$A$1))+1,31)&amp;$F$1,採点基準_観点別!$F$3:$F$1000)),"C","採点基準が不正です"))))</f>
        <v/>
      </c>
      <c r="W27" s="34"/>
      <c r="X27" s="34" t="str">
        <f t="shared" si="4"/>
        <v>未入力</v>
      </c>
      <c r="Y27" s="34" t="str">
        <f t="shared" si="5"/>
        <v/>
      </c>
      <c r="Z27" s="34" t="str" cm="1">
        <f t="array" aca="1" ref="Z27" ca="1">IF(Y27 = "","",IF(Y27&gt;=INDEX(採点基準_観点別!$C$3:$C$1000,_xlfn.XMATCH(MID(CELL("filename",$A$1),FIND("]",CELL("filename",$A$1))+1,31)&amp;$F$1,採点基準_観点別!$F$3:$F$1000)),"A",IF(Y27&gt;=INDEX(採点基準_観点別!$D$3:$D$1000,_xlfn.XMATCH(MID(CELL("filename",$A$1),FIND("]",CELL("filename",$A$1))+1,31)&amp;$F$1,採点基準_観点別!$F$3:$F$1000)),"B",IF(Y27&lt;=INDEX(採点基準_観点別!$E$3:$E$1000,_xlfn.XMATCH(MID(CELL("filename",$A$1),FIND("]",CELL("filename",$A$1))+1,31)&amp;$F$1,採点基準_観点別!$F$3:$F$1000)),"C","採点基準が不正です"))))</f>
        <v/>
      </c>
    </row>
    <row r="28" spans="1:26" x14ac:dyDescent="0.4">
      <c r="A28" s="25">
        <v>14</v>
      </c>
      <c r="B28" s="25" t="s">
        <v>2</v>
      </c>
      <c r="C28" s="25"/>
      <c r="D28" s="25"/>
      <c r="E28" s="25"/>
      <c r="F28" s="25"/>
      <c r="G28" s="25"/>
      <c r="H28" s="25"/>
      <c r="I28" s="25"/>
      <c r="J28" s="25"/>
      <c r="K28" s="25" t="str">
        <f t="shared" si="0"/>
        <v>未入力</v>
      </c>
      <c r="L28" s="25" t="str">
        <f t="shared" si="1"/>
        <v/>
      </c>
      <c r="M28" s="25" t="str" cm="1">
        <f t="array" aca="1" ref="M28" ca="1">IF(L28 = "","",IF(L28&gt;=INDEX(採点基準_観点別!$C$3:$C$1000,_xlfn.XMATCH(MID(CELL("filename",$A$1),FIND("]",CELL("filename",$A$1))+1,31)&amp;$F$1,採点基準_観点別!$F$3:$F$1000)),"A",IF(L28&gt;=INDEX(採点基準_観点別!$D$3:$D$1000,_xlfn.XMATCH(MID(CELL("filename",$A$1),FIND("]",CELL("filename",$A$1))+1,31)&amp;$F$1,採点基準_観点別!$F$3:$F$1000)),"B",IF(L28&lt;=INDEX(採点基準_観点別!$E$3:$E$1000,_xlfn.XMATCH(MID(CELL("filename",$A$1),FIND("]",CELL("filename",$A$1))+1,31)&amp;$F$1,採点基準_観点別!$F$3:$F$1000)),"C","採点基準が不正です"))))</f>
        <v/>
      </c>
      <c r="N28" s="25"/>
      <c r="O28" s="25"/>
      <c r="P28" s="25"/>
      <c r="Q28" s="25"/>
      <c r="R28" s="25"/>
      <c r="S28" s="25"/>
      <c r="T28" s="25" t="str">
        <f t="shared" si="2"/>
        <v>未入力</v>
      </c>
      <c r="U28" s="25" t="str">
        <f t="shared" si="3"/>
        <v/>
      </c>
      <c r="V28" s="25" t="str" cm="1">
        <f t="array" aca="1" ref="V28" ca="1">IF(U28 = "","",IF(U28&gt;=INDEX(採点基準_観点別!$C$3:$C$1000,_xlfn.XMATCH(MID(CELL("filename",$A$1),FIND("]",CELL("filename",$A$1))+1,31)&amp;$F$1,採点基準_観点別!$F$3:$F$1000)),"A",IF(U28&gt;=INDEX(採点基準_観点別!$D$3:$D$1000,_xlfn.XMATCH(MID(CELL("filename",$A$1),FIND("]",CELL("filename",$A$1))+1,31)&amp;$F$1,採点基準_観点別!$F$3:$F$1000)),"B",IF(U28&lt;=INDEX(採点基準_観点別!$E$3:$E$1000,_xlfn.XMATCH(MID(CELL("filename",$A$1),FIND("]",CELL("filename",$A$1))+1,31)&amp;$F$1,採点基準_観点別!$F$3:$F$1000)),"C","採点基準が不正です"))))</f>
        <v/>
      </c>
      <c r="W28" s="25"/>
      <c r="X28" s="25" t="str">
        <f t="shared" si="4"/>
        <v>未入力</v>
      </c>
      <c r="Y28" s="25" t="str">
        <f t="shared" si="5"/>
        <v/>
      </c>
      <c r="Z28" s="25" t="str" cm="1">
        <f t="array" aca="1" ref="Z28" ca="1">IF(Y28 = "","",IF(Y28&gt;=INDEX(採点基準_観点別!$C$3:$C$1000,_xlfn.XMATCH(MID(CELL("filename",$A$1),FIND("]",CELL("filename",$A$1))+1,31)&amp;$F$1,採点基準_観点別!$F$3:$F$1000)),"A",IF(Y28&gt;=INDEX(採点基準_観点別!$D$3:$D$1000,_xlfn.XMATCH(MID(CELL("filename",$A$1),FIND("]",CELL("filename",$A$1))+1,31)&amp;$F$1,採点基準_観点別!$F$3:$F$1000)),"B",IF(Y28&lt;=INDEX(採点基準_観点別!$E$3:$E$1000,_xlfn.XMATCH(MID(CELL("filename",$A$1),FIND("]",CELL("filename",$A$1))+1,31)&amp;$F$1,採点基準_観点別!$F$3:$F$1000)),"C","採点基準が不正です"))))</f>
        <v/>
      </c>
    </row>
    <row r="29" spans="1:26" x14ac:dyDescent="0.4">
      <c r="A29" s="34">
        <v>14</v>
      </c>
      <c r="B29" s="34" t="s">
        <v>2</v>
      </c>
      <c r="C29" s="34"/>
      <c r="D29" s="34"/>
      <c r="E29" s="34"/>
      <c r="F29" s="34"/>
      <c r="G29" s="34"/>
      <c r="H29" s="34"/>
      <c r="I29" s="34"/>
      <c r="J29" s="34"/>
      <c r="K29" s="34" t="str">
        <f t="shared" si="0"/>
        <v>未入力</v>
      </c>
      <c r="L29" s="34" t="str">
        <f t="shared" si="1"/>
        <v/>
      </c>
      <c r="M29" s="34" t="str" cm="1">
        <f t="array" aca="1" ref="M29" ca="1">IF(L29 = "","",IF(L29&gt;=INDEX(採点基準_観点別!$C$3:$C$1000,_xlfn.XMATCH(MID(CELL("filename",$A$1),FIND("]",CELL("filename",$A$1))+1,31)&amp;$F$1,採点基準_観点別!$F$3:$F$1000)),"A",IF(L29&gt;=INDEX(採点基準_観点別!$D$3:$D$1000,_xlfn.XMATCH(MID(CELL("filename",$A$1),FIND("]",CELL("filename",$A$1))+1,31)&amp;$F$1,採点基準_観点別!$F$3:$F$1000)),"B",IF(L29&lt;=INDEX(採点基準_観点別!$E$3:$E$1000,_xlfn.XMATCH(MID(CELL("filename",$A$1),FIND("]",CELL("filename",$A$1))+1,31)&amp;$F$1,採点基準_観点別!$F$3:$F$1000)),"C","採点基準が不正です"))))</f>
        <v/>
      </c>
      <c r="N29" s="34"/>
      <c r="O29" s="34"/>
      <c r="P29" s="34"/>
      <c r="Q29" s="34"/>
      <c r="R29" s="34"/>
      <c r="S29" s="34"/>
      <c r="T29" s="34" t="str">
        <f t="shared" si="2"/>
        <v>未入力</v>
      </c>
      <c r="U29" s="34" t="str">
        <f t="shared" si="3"/>
        <v/>
      </c>
      <c r="V29" s="34" t="str" cm="1">
        <f t="array" aca="1" ref="V29" ca="1">IF(U29 = "","",IF(U29&gt;=INDEX(採点基準_観点別!$C$3:$C$1000,_xlfn.XMATCH(MID(CELL("filename",$A$1),FIND("]",CELL("filename",$A$1))+1,31)&amp;$F$1,採点基準_観点別!$F$3:$F$1000)),"A",IF(U29&gt;=INDEX(採点基準_観点別!$D$3:$D$1000,_xlfn.XMATCH(MID(CELL("filename",$A$1),FIND("]",CELL("filename",$A$1))+1,31)&amp;$F$1,採点基準_観点別!$F$3:$F$1000)),"B",IF(U29&lt;=INDEX(採点基準_観点別!$E$3:$E$1000,_xlfn.XMATCH(MID(CELL("filename",$A$1),FIND("]",CELL("filename",$A$1))+1,31)&amp;$F$1,採点基準_観点別!$F$3:$F$1000)),"C","採点基準が不正です"))))</f>
        <v/>
      </c>
      <c r="W29" s="34"/>
      <c r="X29" s="34" t="str">
        <f t="shared" si="4"/>
        <v>未入力</v>
      </c>
      <c r="Y29" s="34" t="str">
        <f t="shared" si="5"/>
        <v/>
      </c>
      <c r="Z29" s="34" t="str" cm="1">
        <f t="array" aca="1" ref="Z29" ca="1">IF(Y29 = "","",IF(Y29&gt;=INDEX(採点基準_観点別!$C$3:$C$1000,_xlfn.XMATCH(MID(CELL("filename",$A$1),FIND("]",CELL("filename",$A$1))+1,31)&amp;$F$1,採点基準_観点別!$F$3:$F$1000)),"A",IF(Y29&gt;=INDEX(採点基準_観点別!$D$3:$D$1000,_xlfn.XMATCH(MID(CELL("filename",$A$1),FIND("]",CELL("filename",$A$1))+1,31)&amp;$F$1,採点基準_観点別!$F$3:$F$1000)),"B",IF(Y29&lt;=INDEX(採点基準_観点別!$E$3:$E$1000,_xlfn.XMATCH(MID(CELL("filename",$A$1),FIND("]",CELL("filename",$A$1))+1,31)&amp;$F$1,採点基準_観点別!$F$3:$F$1000)),"C","採点基準が不正です"))))</f>
        <v/>
      </c>
    </row>
    <row r="30" spans="1:26" x14ac:dyDescent="0.4">
      <c r="A30" s="25">
        <v>14</v>
      </c>
      <c r="B30" s="25" t="s">
        <v>2</v>
      </c>
      <c r="C30" s="25"/>
      <c r="D30" s="25"/>
      <c r="E30" s="25"/>
      <c r="F30" s="25"/>
      <c r="G30" s="25"/>
      <c r="H30" s="25"/>
      <c r="I30" s="25"/>
      <c r="J30" s="25"/>
      <c r="K30" s="25" t="str">
        <f t="shared" si="0"/>
        <v>未入力</v>
      </c>
      <c r="L30" s="25" t="str">
        <f t="shared" si="1"/>
        <v/>
      </c>
      <c r="M30" s="25" t="str" cm="1">
        <f t="array" aca="1" ref="M30" ca="1">IF(L30 = "","",IF(L30&gt;=INDEX(採点基準_観点別!$C$3:$C$1000,_xlfn.XMATCH(MID(CELL("filename",$A$1),FIND("]",CELL("filename",$A$1))+1,31)&amp;$F$1,採点基準_観点別!$F$3:$F$1000)),"A",IF(L30&gt;=INDEX(採点基準_観点別!$D$3:$D$1000,_xlfn.XMATCH(MID(CELL("filename",$A$1),FIND("]",CELL("filename",$A$1))+1,31)&amp;$F$1,採点基準_観点別!$F$3:$F$1000)),"B",IF(L30&lt;=INDEX(採点基準_観点別!$E$3:$E$1000,_xlfn.XMATCH(MID(CELL("filename",$A$1),FIND("]",CELL("filename",$A$1))+1,31)&amp;$F$1,採点基準_観点別!$F$3:$F$1000)),"C","採点基準が不正です"))))</f>
        <v/>
      </c>
      <c r="N30" s="25"/>
      <c r="O30" s="25"/>
      <c r="P30" s="25"/>
      <c r="Q30" s="25"/>
      <c r="R30" s="25"/>
      <c r="S30" s="25"/>
      <c r="T30" s="25" t="str">
        <f t="shared" si="2"/>
        <v>未入力</v>
      </c>
      <c r="U30" s="25" t="str">
        <f t="shared" si="3"/>
        <v/>
      </c>
      <c r="V30" s="25" t="str" cm="1">
        <f t="array" aca="1" ref="V30" ca="1">IF(U30 = "","",IF(U30&gt;=INDEX(採点基準_観点別!$C$3:$C$1000,_xlfn.XMATCH(MID(CELL("filename",$A$1),FIND("]",CELL("filename",$A$1))+1,31)&amp;$F$1,採点基準_観点別!$F$3:$F$1000)),"A",IF(U30&gt;=INDEX(採点基準_観点別!$D$3:$D$1000,_xlfn.XMATCH(MID(CELL("filename",$A$1),FIND("]",CELL("filename",$A$1))+1,31)&amp;$F$1,採点基準_観点別!$F$3:$F$1000)),"B",IF(U30&lt;=INDEX(採点基準_観点別!$E$3:$E$1000,_xlfn.XMATCH(MID(CELL("filename",$A$1),FIND("]",CELL("filename",$A$1))+1,31)&amp;$F$1,採点基準_観点別!$F$3:$F$1000)),"C","採点基準が不正です"))))</f>
        <v/>
      </c>
      <c r="W30" s="25"/>
      <c r="X30" s="25" t="str">
        <f t="shared" si="4"/>
        <v>未入力</v>
      </c>
      <c r="Y30" s="25" t="str">
        <f t="shared" si="5"/>
        <v/>
      </c>
      <c r="Z30" s="25" t="str" cm="1">
        <f t="array" aca="1" ref="Z30" ca="1">IF(Y30 = "","",IF(Y30&gt;=INDEX(採点基準_観点別!$C$3:$C$1000,_xlfn.XMATCH(MID(CELL("filename",$A$1),FIND("]",CELL("filename",$A$1))+1,31)&amp;$F$1,採点基準_観点別!$F$3:$F$1000)),"A",IF(Y30&gt;=INDEX(採点基準_観点別!$D$3:$D$1000,_xlfn.XMATCH(MID(CELL("filename",$A$1),FIND("]",CELL("filename",$A$1))+1,31)&amp;$F$1,採点基準_観点別!$F$3:$F$1000)),"B",IF(Y30&lt;=INDEX(採点基準_観点別!$E$3:$E$1000,_xlfn.XMATCH(MID(CELL("filename",$A$1),FIND("]",CELL("filename",$A$1))+1,31)&amp;$F$1,採点基準_観点別!$F$3:$F$1000)),"C","採点基準が不正です"))))</f>
        <v/>
      </c>
    </row>
    <row r="31" spans="1:26" x14ac:dyDescent="0.4">
      <c r="A31" s="34">
        <v>14</v>
      </c>
      <c r="B31" s="34" t="s">
        <v>2</v>
      </c>
      <c r="C31" s="34"/>
      <c r="D31" s="34"/>
      <c r="E31" s="34"/>
      <c r="F31" s="34"/>
      <c r="G31" s="34"/>
      <c r="H31" s="34"/>
      <c r="I31" s="34"/>
      <c r="J31" s="34"/>
      <c r="K31" s="34" t="str">
        <f t="shared" si="0"/>
        <v>未入力</v>
      </c>
      <c r="L31" s="34" t="str">
        <f t="shared" si="1"/>
        <v/>
      </c>
      <c r="M31" s="34" t="str" cm="1">
        <f t="array" aca="1" ref="M31" ca="1">IF(L31 = "","",IF(L31&gt;=INDEX(採点基準_観点別!$C$3:$C$1000,_xlfn.XMATCH(MID(CELL("filename",$A$1),FIND("]",CELL("filename",$A$1))+1,31)&amp;$F$1,採点基準_観点別!$F$3:$F$1000)),"A",IF(L31&gt;=INDEX(採点基準_観点別!$D$3:$D$1000,_xlfn.XMATCH(MID(CELL("filename",$A$1),FIND("]",CELL("filename",$A$1))+1,31)&amp;$F$1,採点基準_観点別!$F$3:$F$1000)),"B",IF(L31&lt;=INDEX(採点基準_観点別!$E$3:$E$1000,_xlfn.XMATCH(MID(CELL("filename",$A$1),FIND("]",CELL("filename",$A$1))+1,31)&amp;$F$1,採点基準_観点別!$F$3:$F$1000)),"C","採点基準が不正です"))))</f>
        <v/>
      </c>
      <c r="N31" s="34"/>
      <c r="O31" s="34"/>
      <c r="P31" s="34"/>
      <c r="Q31" s="34"/>
      <c r="R31" s="34"/>
      <c r="S31" s="34"/>
      <c r="T31" s="34" t="str">
        <f t="shared" si="2"/>
        <v>未入力</v>
      </c>
      <c r="U31" s="34" t="str">
        <f t="shared" si="3"/>
        <v/>
      </c>
      <c r="V31" s="34" t="str" cm="1">
        <f t="array" aca="1" ref="V31" ca="1">IF(U31 = "","",IF(U31&gt;=INDEX(採点基準_観点別!$C$3:$C$1000,_xlfn.XMATCH(MID(CELL("filename",$A$1),FIND("]",CELL("filename",$A$1))+1,31)&amp;$F$1,採点基準_観点別!$F$3:$F$1000)),"A",IF(U31&gt;=INDEX(採点基準_観点別!$D$3:$D$1000,_xlfn.XMATCH(MID(CELL("filename",$A$1),FIND("]",CELL("filename",$A$1))+1,31)&amp;$F$1,採点基準_観点別!$F$3:$F$1000)),"B",IF(U31&lt;=INDEX(採点基準_観点別!$E$3:$E$1000,_xlfn.XMATCH(MID(CELL("filename",$A$1),FIND("]",CELL("filename",$A$1))+1,31)&amp;$F$1,採点基準_観点別!$F$3:$F$1000)),"C","採点基準が不正です"))))</f>
        <v/>
      </c>
      <c r="W31" s="34"/>
      <c r="X31" s="34" t="str">
        <f t="shared" si="4"/>
        <v>未入力</v>
      </c>
      <c r="Y31" s="34" t="str">
        <f t="shared" si="5"/>
        <v/>
      </c>
      <c r="Z31" s="34" t="str" cm="1">
        <f t="array" aca="1" ref="Z31" ca="1">IF(Y31 = "","",IF(Y31&gt;=INDEX(採点基準_観点別!$C$3:$C$1000,_xlfn.XMATCH(MID(CELL("filename",$A$1),FIND("]",CELL("filename",$A$1))+1,31)&amp;$F$1,採点基準_観点別!$F$3:$F$1000)),"A",IF(Y31&gt;=INDEX(採点基準_観点別!$D$3:$D$1000,_xlfn.XMATCH(MID(CELL("filename",$A$1),FIND("]",CELL("filename",$A$1))+1,31)&amp;$F$1,採点基準_観点別!$F$3:$F$1000)),"B",IF(Y31&lt;=INDEX(採点基準_観点別!$E$3:$E$1000,_xlfn.XMATCH(MID(CELL("filename",$A$1),FIND("]",CELL("filename",$A$1))+1,31)&amp;$F$1,採点基準_観点別!$F$3:$F$1000)),"C","採点基準が不正です"))))</f>
        <v/>
      </c>
    </row>
    <row r="32" spans="1:26" x14ac:dyDescent="0.4">
      <c r="A32" s="25">
        <v>14</v>
      </c>
      <c r="B32" s="25" t="s">
        <v>2</v>
      </c>
      <c r="C32" s="25"/>
      <c r="D32" s="25"/>
      <c r="E32" s="25"/>
      <c r="F32" s="25"/>
      <c r="G32" s="25"/>
      <c r="H32" s="25"/>
      <c r="I32" s="25"/>
      <c r="J32" s="25"/>
      <c r="K32" s="25" t="str">
        <f t="shared" si="0"/>
        <v>未入力</v>
      </c>
      <c r="L32" s="25" t="str">
        <f t="shared" si="1"/>
        <v/>
      </c>
      <c r="M32" s="25" t="str" cm="1">
        <f t="array" aca="1" ref="M32" ca="1">IF(L32 = "","",IF(L32&gt;=INDEX(採点基準_観点別!$C$3:$C$1000,_xlfn.XMATCH(MID(CELL("filename",$A$1),FIND("]",CELL("filename",$A$1))+1,31)&amp;$F$1,採点基準_観点別!$F$3:$F$1000)),"A",IF(L32&gt;=INDEX(採点基準_観点別!$D$3:$D$1000,_xlfn.XMATCH(MID(CELL("filename",$A$1),FIND("]",CELL("filename",$A$1))+1,31)&amp;$F$1,採点基準_観点別!$F$3:$F$1000)),"B",IF(L32&lt;=INDEX(採点基準_観点別!$E$3:$E$1000,_xlfn.XMATCH(MID(CELL("filename",$A$1),FIND("]",CELL("filename",$A$1))+1,31)&amp;$F$1,採点基準_観点別!$F$3:$F$1000)),"C","採点基準が不正です"))))</f>
        <v/>
      </c>
      <c r="N32" s="25"/>
      <c r="O32" s="25"/>
      <c r="P32" s="25"/>
      <c r="Q32" s="25"/>
      <c r="R32" s="25"/>
      <c r="S32" s="25"/>
      <c r="T32" s="25" t="str">
        <f t="shared" si="2"/>
        <v>未入力</v>
      </c>
      <c r="U32" s="25" t="str">
        <f t="shared" si="3"/>
        <v/>
      </c>
      <c r="V32" s="25" t="str" cm="1">
        <f t="array" aca="1" ref="V32" ca="1">IF(U32 = "","",IF(U32&gt;=INDEX(採点基準_観点別!$C$3:$C$1000,_xlfn.XMATCH(MID(CELL("filename",$A$1),FIND("]",CELL("filename",$A$1))+1,31)&amp;$F$1,採点基準_観点別!$F$3:$F$1000)),"A",IF(U32&gt;=INDEX(採点基準_観点別!$D$3:$D$1000,_xlfn.XMATCH(MID(CELL("filename",$A$1),FIND("]",CELL("filename",$A$1))+1,31)&amp;$F$1,採点基準_観点別!$F$3:$F$1000)),"B",IF(U32&lt;=INDEX(採点基準_観点別!$E$3:$E$1000,_xlfn.XMATCH(MID(CELL("filename",$A$1),FIND("]",CELL("filename",$A$1))+1,31)&amp;$F$1,採点基準_観点別!$F$3:$F$1000)),"C","採点基準が不正です"))))</f>
        <v/>
      </c>
      <c r="W32" s="25"/>
      <c r="X32" s="25" t="str">
        <f t="shared" si="4"/>
        <v>未入力</v>
      </c>
      <c r="Y32" s="25" t="str">
        <f t="shared" si="5"/>
        <v/>
      </c>
      <c r="Z32" s="25" t="str" cm="1">
        <f t="array" aca="1" ref="Z32" ca="1">IF(Y32 = "","",IF(Y32&gt;=INDEX(採点基準_観点別!$C$3:$C$1000,_xlfn.XMATCH(MID(CELL("filename",$A$1),FIND("]",CELL("filename",$A$1))+1,31)&amp;$F$1,採点基準_観点別!$F$3:$F$1000)),"A",IF(Y32&gt;=INDEX(採点基準_観点別!$D$3:$D$1000,_xlfn.XMATCH(MID(CELL("filename",$A$1),FIND("]",CELL("filename",$A$1))+1,31)&amp;$F$1,採点基準_観点別!$F$3:$F$1000)),"B",IF(Y32&lt;=INDEX(採点基準_観点別!$E$3:$E$1000,_xlfn.XMATCH(MID(CELL("filename",$A$1),FIND("]",CELL("filename",$A$1))+1,31)&amp;$F$1,採点基準_観点別!$F$3:$F$1000)),"C","採点基準が不正です"))))</f>
        <v/>
      </c>
    </row>
    <row r="33" spans="1:26" x14ac:dyDescent="0.4">
      <c r="A33" s="34">
        <v>14</v>
      </c>
      <c r="B33" s="34" t="s">
        <v>2</v>
      </c>
      <c r="C33" s="34"/>
      <c r="D33" s="34"/>
      <c r="E33" s="34"/>
      <c r="F33" s="34"/>
      <c r="G33" s="34"/>
      <c r="H33" s="34"/>
      <c r="I33" s="34"/>
      <c r="J33" s="34"/>
      <c r="K33" s="34" t="str">
        <f t="shared" si="0"/>
        <v>未入力</v>
      </c>
      <c r="L33" s="34" t="str">
        <f t="shared" si="1"/>
        <v/>
      </c>
      <c r="M33" s="34" t="str" cm="1">
        <f t="array" aca="1" ref="M33" ca="1">IF(L33 = "","",IF(L33&gt;=INDEX(採点基準_観点別!$C$3:$C$1000,_xlfn.XMATCH(MID(CELL("filename",$A$1),FIND("]",CELL("filename",$A$1))+1,31)&amp;$F$1,採点基準_観点別!$F$3:$F$1000)),"A",IF(L33&gt;=INDEX(採点基準_観点別!$D$3:$D$1000,_xlfn.XMATCH(MID(CELL("filename",$A$1),FIND("]",CELL("filename",$A$1))+1,31)&amp;$F$1,採点基準_観点別!$F$3:$F$1000)),"B",IF(L33&lt;=INDEX(採点基準_観点別!$E$3:$E$1000,_xlfn.XMATCH(MID(CELL("filename",$A$1),FIND("]",CELL("filename",$A$1))+1,31)&amp;$F$1,採点基準_観点別!$F$3:$F$1000)),"C","採点基準が不正です"))))</f>
        <v/>
      </c>
      <c r="N33" s="34"/>
      <c r="O33" s="34"/>
      <c r="P33" s="34"/>
      <c r="Q33" s="34"/>
      <c r="R33" s="34"/>
      <c r="S33" s="34"/>
      <c r="T33" s="34" t="str">
        <f t="shared" si="2"/>
        <v>未入力</v>
      </c>
      <c r="U33" s="34" t="str">
        <f t="shared" si="3"/>
        <v/>
      </c>
      <c r="V33" s="34" t="str" cm="1">
        <f t="array" aca="1" ref="V33" ca="1">IF(U33 = "","",IF(U33&gt;=INDEX(採点基準_観点別!$C$3:$C$1000,_xlfn.XMATCH(MID(CELL("filename",$A$1),FIND("]",CELL("filename",$A$1))+1,31)&amp;$F$1,採点基準_観点別!$F$3:$F$1000)),"A",IF(U33&gt;=INDEX(採点基準_観点別!$D$3:$D$1000,_xlfn.XMATCH(MID(CELL("filename",$A$1),FIND("]",CELL("filename",$A$1))+1,31)&amp;$F$1,採点基準_観点別!$F$3:$F$1000)),"B",IF(U33&lt;=INDEX(採点基準_観点別!$E$3:$E$1000,_xlfn.XMATCH(MID(CELL("filename",$A$1),FIND("]",CELL("filename",$A$1))+1,31)&amp;$F$1,採点基準_観点別!$F$3:$F$1000)),"C","採点基準が不正です"))))</f>
        <v/>
      </c>
      <c r="W33" s="34"/>
      <c r="X33" s="34" t="str">
        <f t="shared" si="4"/>
        <v>未入力</v>
      </c>
      <c r="Y33" s="34" t="str">
        <f t="shared" si="5"/>
        <v/>
      </c>
      <c r="Z33" s="34" t="str" cm="1">
        <f t="array" aca="1" ref="Z33" ca="1">IF(Y33 = "","",IF(Y33&gt;=INDEX(採点基準_観点別!$C$3:$C$1000,_xlfn.XMATCH(MID(CELL("filename",$A$1),FIND("]",CELL("filename",$A$1))+1,31)&amp;$F$1,採点基準_観点別!$F$3:$F$1000)),"A",IF(Y33&gt;=INDEX(採点基準_観点別!$D$3:$D$1000,_xlfn.XMATCH(MID(CELL("filename",$A$1),FIND("]",CELL("filename",$A$1))+1,31)&amp;$F$1,採点基準_観点別!$F$3:$F$1000)),"B",IF(Y33&lt;=INDEX(採点基準_観点別!$E$3:$E$1000,_xlfn.XMATCH(MID(CELL("filename",$A$1),FIND("]",CELL("filename",$A$1))+1,31)&amp;$F$1,採点基準_観点別!$F$3:$F$1000)),"C","採点基準が不正です"))))</f>
        <v/>
      </c>
    </row>
    <row r="34" spans="1:26" x14ac:dyDescent="0.4">
      <c r="A34" s="25">
        <v>14</v>
      </c>
      <c r="B34" s="25" t="s">
        <v>2</v>
      </c>
      <c r="C34" s="25"/>
      <c r="D34" s="25"/>
      <c r="E34" s="25"/>
      <c r="F34" s="25"/>
      <c r="G34" s="25"/>
      <c r="H34" s="25"/>
      <c r="I34" s="25"/>
      <c r="J34" s="25"/>
      <c r="K34" s="25" t="str">
        <f t="shared" si="0"/>
        <v>未入力</v>
      </c>
      <c r="L34" s="25" t="str">
        <f t="shared" si="1"/>
        <v/>
      </c>
      <c r="M34" s="25" t="str" cm="1">
        <f t="array" aca="1" ref="M34" ca="1">IF(L34 = "","",IF(L34&gt;=INDEX(採点基準_観点別!$C$3:$C$1000,_xlfn.XMATCH(MID(CELL("filename",$A$1),FIND("]",CELL("filename",$A$1))+1,31)&amp;$F$1,採点基準_観点別!$F$3:$F$1000)),"A",IF(L34&gt;=INDEX(採点基準_観点別!$D$3:$D$1000,_xlfn.XMATCH(MID(CELL("filename",$A$1),FIND("]",CELL("filename",$A$1))+1,31)&amp;$F$1,採点基準_観点別!$F$3:$F$1000)),"B",IF(L34&lt;=INDEX(採点基準_観点別!$E$3:$E$1000,_xlfn.XMATCH(MID(CELL("filename",$A$1),FIND("]",CELL("filename",$A$1))+1,31)&amp;$F$1,採点基準_観点別!$F$3:$F$1000)),"C","採点基準が不正です"))))</f>
        <v/>
      </c>
      <c r="N34" s="25"/>
      <c r="O34" s="25"/>
      <c r="P34" s="25"/>
      <c r="Q34" s="25"/>
      <c r="R34" s="25"/>
      <c r="S34" s="25"/>
      <c r="T34" s="25" t="str">
        <f t="shared" si="2"/>
        <v>未入力</v>
      </c>
      <c r="U34" s="25" t="str">
        <f t="shared" si="3"/>
        <v/>
      </c>
      <c r="V34" s="25" t="str" cm="1">
        <f t="array" aca="1" ref="V34" ca="1">IF(U34 = "","",IF(U34&gt;=INDEX(採点基準_観点別!$C$3:$C$1000,_xlfn.XMATCH(MID(CELL("filename",$A$1),FIND("]",CELL("filename",$A$1))+1,31)&amp;$F$1,採点基準_観点別!$F$3:$F$1000)),"A",IF(U34&gt;=INDEX(採点基準_観点別!$D$3:$D$1000,_xlfn.XMATCH(MID(CELL("filename",$A$1),FIND("]",CELL("filename",$A$1))+1,31)&amp;$F$1,採点基準_観点別!$F$3:$F$1000)),"B",IF(U34&lt;=INDEX(採点基準_観点別!$E$3:$E$1000,_xlfn.XMATCH(MID(CELL("filename",$A$1),FIND("]",CELL("filename",$A$1))+1,31)&amp;$F$1,採点基準_観点別!$F$3:$F$1000)),"C","採点基準が不正です"))))</f>
        <v/>
      </c>
      <c r="W34" s="25"/>
      <c r="X34" s="25" t="str">
        <f t="shared" si="4"/>
        <v>未入力</v>
      </c>
      <c r="Y34" s="25" t="str">
        <f t="shared" si="5"/>
        <v/>
      </c>
      <c r="Z34" s="25" t="str" cm="1">
        <f t="array" aca="1" ref="Z34" ca="1">IF(Y34 = "","",IF(Y34&gt;=INDEX(採点基準_観点別!$C$3:$C$1000,_xlfn.XMATCH(MID(CELL("filename",$A$1),FIND("]",CELL("filename",$A$1))+1,31)&amp;$F$1,採点基準_観点別!$F$3:$F$1000)),"A",IF(Y34&gt;=INDEX(採点基準_観点別!$D$3:$D$1000,_xlfn.XMATCH(MID(CELL("filename",$A$1),FIND("]",CELL("filename",$A$1))+1,31)&amp;$F$1,採点基準_観点別!$F$3:$F$1000)),"B",IF(Y34&lt;=INDEX(採点基準_観点別!$E$3:$E$1000,_xlfn.XMATCH(MID(CELL("filename",$A$1),FIND("]",CELL("filename",$A$1))+1,31)&amp;$F$1,採点基準_観点別!$F$3:$F$1000)),"C","採点基準が不正です"))))</f>
        <v/>
      </c>
    </row>
    <row r="35" spans="1:26" x14ac:dyDescent="0.4">
      <c r="A35" s="34">
        <v>14</v>
      </c>
      <c r="B35" s="34" t="s">
        <v>2</v>
      </c>
      <c r="C35" s="34"/>
      <c r="D35" s="34"/>
      <c r="E35" s="34"/>
      <c r="F35" s="34"/>
      <c r="G35" s="34"/>
      <c r="H35" s="34"/>
      <c r="I35" s="34"/>
      <c r="J35" s="34"/>
      <c r="K35" s="34" t="str">
        <f t="shared" si="0"/>
        <v>未入力</v>
      </c>
      <c r="L35" s="34" t="str">
        <f t="shared" si="1"/>
        <v/>
      </c>
      <c r="M35" s="34" t="str" cm="1">
        <f t="array" aca="1" ref="M35" ca="1">IF(L35 = "","",IF(L35&gt;=INDEX(採点基準_観点別!$C$3:$C$1000,_xlfn.XMATCH(MID(CELL("filename",$A$1),FIND("]",CELL("filename",$A$1))+1,31)&amp;$F$1,採点基準_観点別!$F$3:$F$1000)),"A",IF(L35&gt;=INDEX(採点基準_観点別!$D$3:$D$1000,_xlfn.XMATCH(MID(CELL("filename",$A$1),FIND("]",CELL("filename",$A$1))+1,31)&amp;$F$1,採点基準_観点別!$F$3:$F$1000)),"B",IF(L35&lt;=INDEX(採点基準_観点別!$E$3:$E$1000,_xlfn.XMATCH(MID(CELL("filename",$A$1),FIND("]",CELL("filename",$A$1))+1,31)&amp;$F$1,採点基準_観点別!$F$3:$F$1000)),"C","採点基準が不正です"))))</f>
        <v/>
      </c>
      <c r="N35" s="34"/>
      <c r="O35" s="34"/>
      <c r="P35" s="34"/>
      <c r="Q35" s="34"/>
      <c r="R35" s="34"/>
      <c r="S35" s="34"/>
      <c r="T35" s="34" t="str">
        <f t="shared" si="2"/>
        <v>未入力</v>
      </c>
      <c r="U35" s="34" t="str">
        <f t="shared" si="3"/>
        <v/>
      </c>
      <c r="V35" s="34" t="str" cm="1">
        <f t="array" aca="1" ref="V35" ca="1">IF(U35 = "","",IF(U35&gt;=INDEX(採点基準_観点別!$C$3:$C$1000,_xlfn.XMATCH(MID(CELL("filename",$A$1),FIND("]",CELL("filename",$A$1))+1,31)&amp;$F$1,採点基準_観点別!$F$3:$F$1000)),"A",IF(U35&gt;=INDEX(採点基準_観点別!$D$3:$D$1000,_xlfn.XMATCH(MID(CELL("filename",$A$1),FIND("]",CELL("filename",$A$1))+1,31)&amp;$F$1,採点基準_観点別!$F$3:$F$1000)),"B",IF(U35&lt;=INDEX(採点基準_観点別!$E$3:$E$1000,_xlfn.XMATCH(MID(CELL("filename",$A$1),FIND("]",CELL("filename",$A$1))+1,31)&amp;$F$1,採点基準_観点別!$F$3:$F$1000)),"C","採点基準が不正です"))))</f>
        <v/>
      </c>
      <c r="W35" s="34"/>
      <c r="X35" s="34" t="str">
        <f t="shared" si="4"/>
        <v>未入力</v>
      </c>
      <c r="Y35" s="34" t="str">
        <f t="shared" si="5"/>
        <v/>
      </c>
      <c r="Z35" s="34" t="str" cm="1">
        <f t="array" aca="1" ref="Z35" ca="1">IF(Y35 = "","",IF(Y35&gt;=INDEX(採点基準_観点別!$C$3:$C$1000,_xlfn.XMATCH(MID(CELL("filename",$A$1),FIND("]",CELL("filename",$A$1))+1,31)&amp;$F$1,採点基準_観点別!$F$3:$F$1000)),"A",IF(Y35&gt;=INDEX(採点基準_観点別!$D$3:$D$1000,_xlfn.XMATCH(MID(CELL("filename",$A$1),FIND("]",CELL("filename",$A$1))+1,31)&amp;$F$1,採点基準_観点別!$F$3:$F$1000)),"B",IF(Y35&lt;=INDEX(採点基準_観点別!$E$3:$E$1000,_xlfn.XMATCH(MID(CELL("filename",$A$1),FIND("]",CELL("filename",$A$1))+1,31)&amp;$F$1,採点基準_観点別!$F$3:$F$1000)),"C","採点基準が不正です"))))</f>
        <v/>
      </c>
    </row>
    <row r="36" spans="1:26" x14ac:dyDescent="0.4">
      <c r="A36" s="25">
        <v>14</v>
      </c>
      <c r="B36" s="25" t="s">
        <v>2</v>
      </c>
      <c r="C36" s="25"/>
      <c r="D36" s="25"/>
      <c r="E36" s="25"/>
      <c r="F36" s="25"/>
      <c r="G36" s="25"/>
      <c r="H36" s="25"/>
      <c r="I36" s="25"/>
      <c r="J36" s="25"/>
      <c r="K36" s="25" t="str">
        <f t="shared" si="0"/>
        <v>未入力</v>
      </c>
      <c r="L36" s="25" t="str">
        <f t="shared" si="1"/>
        <v/>
      </c>
      <c r="M36" s="25" t="str" cm="1">
        <f t="array" aca="1" ref="M36" ca="1">IF(L36 = "","",IF(L36&gt;=INDEX(採点基準_観点別!$C$3:$C$1000,_xlfn.XMATCH(MID(CELL("filename",$A$1),FIND("]",CELL("filename",$A$1))+1,31)&amp;$F$1,採点基準_観点別!$F$3:$F$1000)),"A",IF(L36&gt;=INDEX(採点基準_観点別!$D$3:$D$1000,_xlfn.XMATCH(MID(CELL("filename",$A$1),FIND("]",CELL("filename",$A$1))+1,31)&amp;$F$1,採点基準_観点別!$F$3:$F$1000)),"B",IF(L36&lt;=INDEX(採点基準_観点別!$E$3:$E$1000,_xlfn.XMATCH(MID(CELL("filename",$A$1),FIND("]",CELL("filename",$A$1))+1,31)&amp;$F$1,採点基準_観点別!$F$3:$F$1000)),"C","採点基準が不正です"))))</f>
        <v/>
      </c>
      <c r="N36" s="25"/>
      <c r="O36" s="25"/>
      <c r="P36" s="25"/>
      <c r="Q36" s="25"/>
      <c r="R36" s="25"/>
      <c r="S36" s="25"/>
      <c r="T36" s="25" t="str">
        <f t="shared" si="2"/>
        <v>未入力</v>
      </c>
      <c r="U36" s="25" t="str">
        <f t="shared" si="3"/>
        <v/>
      </c>
      <c r="V36" s="25" t="str" cm="1">
        <f t="array" aca="1" ref="V36" ca="1">IF(U36 = "","",IF(U36&gt;=INDEX(採点基準_観点別!$C$3:$C$1000,_xlfn.XMATCH(MID(CELL("filename",$A$1),FIND("]",CELL("filename",$A$1))+1,31)&amp;$F$1,採点基準_観点別!$F$3:$F$1000)),"A",IF(U36&gt;=INDEX(採点基準_観点別!$D$3:$D$1000,_xlfn.XMATCH(MID(CELL("filename",$A$1),FIND("]",CELL("filename",$A$1))+1,31)&amp;$F$1,採点基準_観点別!$F$3:$F$1000)),"B",IF(U36&lt;=INDEX(採点基準_観点別!$E$3:$E$1000,_xlfn.XMATCH(MID(CELL("filename",$A$1),FIND("]",CELL("filename",$A$1))+1,31)&amp;$F$1,採点基準_観点別!$F$3:$F$1000)),"C","採点基準が不正です"))))</f>
        <v/>
      </c>
      <c r="W36" s="25"/>
      <c r="X36" s="25" t="str">
        <f t="shared" si="4"/>
        <v>未入力</v>
      </c>
      <c r="Y36" s="25" t="str">
        <f t="shared" si="5"/>
        <v/>
      </c>
      <c r="Z36" s="25" t="str" cm="1">
        <f t="array" aca="1" ref="Z36" ca="1">IF(Y36 = "","",IF(Y36&gt;=INDEX(採点基準_観点別!$C$3:$C$1000,_xlfn.XMATCH(MID(CELL("filename",$A$1),FIND("]",CELL("filename",$A$1))+1,31)&amp;$F$1,採点基準_観点別!$F$3:$F$1000)),"A",IF(Y36&gt;=INDEX(採点基準_観点別!$D$3:$D$1000,_xlfn.XMATCH(MID(CELL("filename",$A$1),FIND("]",CELL("filename",$A$1))+1,31)&amp;$F$1,採点基準_観点別!$F$3:$F$1000)),"B",IF(Y36&lt;=INDEX(採点基準_観点別!$E$3:$E$1000,_xlfn.XMATCH(MID(CELL("filename",$A$1),FIND("]",CELL("filename",$A$1))+1,31)&amp;$F$1,採点基準_観点別!$F$3:$F$1000)),"C","採点基準が不正です"))))</f>
        <v/>
      </c>
    </row>
    <row r="37" spans="1:26" x14ac:dyDescent="0.4">
      <c r="A37" s="34">
        <v>14</v>
      </c>
      <c r="B37" s="34" t="s">
        <v>2</v>
      </c>
      <c r="C37" s="34"/>
      <c r="D37" s="34"/>
      <c r="E37" s="34"/>
      <c r="F37" s="34"/>
      <c r="G37" s="34"/>
      <c r="H37" s="34"/>
      <c r="I37" s="34"/>
      <c r="J37" s="34"/>
      <c r="K37" s="34" t="str">
        <f t="shared" si="0"/>
        <v>未入力</v>
      </c>
      <c r="L37" s="34" t="str">
        <f t="shared" si="1"/>
        <v/>
      </c>
      <c r="M37" s="34" t="str" cm="1">
        <f t="array" aca="1" ref="M37" ca="1">IF(L37 = "","",IF(L37&gt;=INDEX(採点基準_観点別!$C$3:$C$1000,_xlfn.XMATCH(MID(CELL("filename",$A$1),FIND("]",CELL("filename",$A$1))+1,31)&amp;$F$1,採点基準_観点別!$F$3:$F$1000)),"A",IF(L37&gt;=INDEX(採点基準_観点別!$D$3:$D$1000,_xlfn.XMATCH(MID(CELL("filename",$A$1),FIND("]",CELL("filename",$A$1))+1,31)&amp;$F$1,採点基準_観点別!$F$3:$F$1000)),"B",IF(L37&lt;=INDEX(採点基準_観点別!$E$3:$E$1000,_xlfn.XMATCH(MID(CELL("filename",$A$1),FIND("]",CELL("filename",$A$1))+1,31)&amp;$F$1,採点基準_観点別!$F$3:$F$1000)),"C","採点基準が不正です"))))</f>
        <v/>
      </c>
      <c r="N37" s="34"/>
      <c r="O37" s="34"/>
      <c r="P37" s="34"/>
      <c r="Q37" s="34"/>
      <c r="R37" s="34"/>
      <c r="S37" s="34"/>
      <c r="T37" s="34" t="str">
        <f t="shared" si="2"/>
        <v>未入力</v>
      </c>
      <c r="U37" s="34" t="str">
        <f t="shared" si="3"/>
        <v/>
      </c>
      <c r="V37" s="34" t="str" cm="1">
        <f t="array" aca="1" ref="V37" ca="1">IF(U37 = "","",IF(U37&gt;=INDEX(採点基準_観点別!$C$3:$C$1000,_xlfn.XMATCH(MID(CELL("filename",$A$1),FIND("]",CELL("filename",$A$1))+1,31)&amp;$F$1,採点基準_観点別!$F$3:$F$1000)),"A",IF(U37&gt;=INDEX(採点基準_観点別!$D$3:$D$1000,_xlfn.XMATCH(MID(CELL("filename",$A$1),FIND("]",CELL("filename",$A$1))+1,31)&amp;$F$1,採点基準_観点別!$F$3:$F$1000)),"B",IF(U37&lt;=INDEX(採点基準_観点別!$E$3:$E$1000,_xlfn.XMATCH(MID(CELL("filename",$A$1),FIND("]",CELL("filename",$A$1))+1,31)&amp;$F$1,採点基準_観点別!$F$3:$F$1000)),"C","採点基準が不正です"))))</f>
        <v/>
      </c>
      <c r="W37" s="34"/>
      <c r="X37" s="34" t="str">
        <f t="shared" si="4"/>
        <v>未入力</v>
      </c>
      <c r="Y37" s="34" t="str">
        <f t="shared" si="5"/>
        <v/>
      </c>
      <c r="Z37" s="34" t="str" cm="1">
        <f t="array" aca="1" ref="Z37" ca="1">IF(Y37 = "","",IF(Y37&gt;=INDEX(採点基準_観点別!$C$3:$C$1000,_xlfn.XMATCH(MID(CELL("filename",$A$1),FIND("]",CELL("filename",$A$1))+1,31)&amp;$F$1,採点基準_観点別!$F$3:$F$1000)),"A",IF(Y37&gt;=INDEX(採点基準_観点別!$D$3:$D$1000,_xlfn.XMATCH(MID(CELL("filename",$A$1),FIND("]",CELL("filename",$A$1))+1,31)&amp;$F$1,採点基準_観点別!$F$3:$F$1000)),"B",IF(Y37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6932-64A8-4C6D-9275-3783FD4CFCC2}">
  <sheetPr codeName="Sheet5"/>
  <dimension ref="A1:AK2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37" width="4.375" style="13" customWidth="1"/>
    <col min="38" max="16384" width="9" style="13"/>
  </cols>
  <sheetData>
    <row r="1" spans="1:37" x14ac:dyDescent="0.4">
      <c r="B1" s="27" t="s">
        <v>21</v>
      </c>
      <c r="C1" s="50" t="s">
        <v>23</v>
      </c>
      <c r="D1" s="51"/>
      <c r="E1" s="52"/>
      <c r="F1" s="21" t="s">
        <v>35</v>
      </c>
      <c r="G1" s="21"/>
      <c r="H1" s="21"/>
      <c r="I1" s="21"/>
      <c r="J1" s="21"/>
      <c r="K1" s="21"/>
      <c r="L1" s="21"/>
      <c r="M1" s="21"/>
      <c r="N1" s="21"/>
      <c r="O1" s="21"/>
      <c r="P1" s="22"/>
      <c r="Q1" s="21" t="s">
        <v>9</v>
      </c>
      <c r="R1" s="21"/>
      <c r="S1" s="21"/>
      <c r="T1" s="21"/>
      <c r="U1" s="21"/>
      <c r="V1" s="21"/>
      <c r="W1" s="21"/>
      <c r="X1" s="21"/>
      <c r="Y1" s="21"/>
      <c r="Z1" s="22"/>
      <c r="AA1" s="21" t="s">
        <v>39</v>
      </c>
      <c r="AB1" s="21"/>
      <c r="AC1" s="21"/>
      <c r="AD1" s="21"/>
      <c r="AE1" s="21"/>
      <c r="AF1" s="21"/>
      <c r="AG1" s="21"/>
      <c r="AH1" s="21"/>
      <c r="AI1" s="21"/>
      <c r="AJ1" s="21"/>
      <c r="AK1" s="22"/>
    </row>
    <row r="2" spans="1:37" ht="121.5" x14ac:dyDescent="0.4">
      <c r="B2" s="32" t="s">
        <v>22</v>
      </c>
      <c r="C2" s="35" t="s">
        <v>24</v>
      </c>
      <c r="D2" s="33" t="s">
        <v>25</v>
      </c>
      <c r="E2" s="33" t="s">
        <v>26</v>
      </c>
      <c r="F2" s="33" t="s">
        <v>40</v>
      </c>
      <c r="G2" s="33" t="s">
        <v>27</v>
      </c>
      <c r="H2" s="33" t="s">
        <v>41</v>
      </c>
      <c r="I2" s="33" t="s">
        <v>65</v>
      </c>
      <c r="J2" s="33" t="s">
        <v>65</v>
      </c>
      <c r="K2" s="33" t="s">
        <v>148</v>
      </c>
      <c r="L2" s="33" t="s">
        <v>148</v>
      </c>
      <c r="M2" s="33" t="s">
        <v>156</v>
      </c>
      <c r="N2" s="35" t="s">
        <v>36</v>
      </c>
      <c r="O2" s="33" t="s">
        <v>37</v>
      </c>
      <c r="P2" s="33" t="s">
        <v>38</v>
      </c>
      <c r="Q2" s="33" t="s">
        <v>32</v>
      </c>
      <c r="R2" s="33" t="s">
        <v>40</v>
      </c>
      <c r="S2" s="33" t="s">
        <v>31</v>
      </c>
      <c r="T2" s="33" t="s">
        <v>32</v>
      </c>
      <c r="U2" s="33" t="s">
        <v>31</v>
      </c>
      <c r="V2" s="33" t="s">
        <v>27</v>
      </c>
      <c r="W2" s="33" t="s">
        <v>41</v>
      </c>
      <c r="X2" s="35" t="s">
        <v>36</v>
      </c>
      <c r="Y2" s="33" t="s">
        <v>37</v>
      </c>
      <c r="Z2" s="33" t="s">
        <v>38</v>
      </c>
      <c r="AA2" s="33" t="s">
        <v>40</v>
      </c>
      <c r="AB2" s="33" t="s">
        <v>31</v>
      </c>
      <c r="AC2" s="33" t="s">
        <v>32</v>
      </c>
      <c r="AD2" s="33" t="s">
        <v>31</v>
      </c>
      <c r="AE2" s="33" t="s">
        <v>42</v>
      </c>
      <c r="AF2" s="33" t="s">
        <v>27</v>
      </c>
      <c r="AG2" s="33" t="s">
        <v>41</v>
      </c>
      <c r="AH2" s="33" t="s">
        <v>31</v>
      </c>
      <c r="AI2" s="35" t="s">
        <v>36</v>
      </c>
      <c r="AJ2" s="33" t="s">
        <v>37</v>
      </c>
      <c r="AK2" s="33" t="s">
        <v>38</v>
      </c>
    </row>
    <row r="3" spans="1:37" x14ac:dyDescent="0.4">
      <c r="A3" s="53"/>
      <c r="B3" s="24" t="s">
        <v>154</v>
      </c>
      <c r="C3" s="29"/>
      <c r="D3" s="24"/>
      <c r="E3" s="24"/>
      <c r="F3" s="24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0</v>
      </c>
      <c r="G3" s="24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100</v>
      </c>
      <c r="H3" s="24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100</v>
      </c>
      <c r="I3" s="24" t="str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見つかりません</v>
      </c>
      <c r="J3" s="24" t="str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見つかりません</v>
      </c>
      <c r="K3" s="24" t="str" cm="1">
        <f t="array" aca="1" ref="K3" ca="1">_xlfn.XLOOKUP(MID(CELL("filename",$A$1),FIND("]",CELL("filename",$A$1))+1,31)&amp;$K$2&amp;$F$1,採点基準_単元別!$R$3:$R$100000,採点基準_単元別!$F$3:$F$100000,_xlfn.XLOOKUP(MID(CELL("filename",$A$1),FIND("]",CELL("filename",$A$1))+1,31)&amp;$K$2&amp;$F$1,採点基準_単元別!$S$3:$S$100000,採点基準_単元別!$J$3:$J$100000,_xlfn.XLOOKUP(MID(CELL("filename",$A$1),FIND("]",CELL("filename",$A$1))+1,31)&amp;$K$2&amp;$F$1,採点基準_単元別!$T$3:$T$100000,採点基準_単元別!$N$3:$N$100000,"見つかりません")))</f>
        <v>見つかりません</v>
      </c>
      <c r="L3" s="24" t="str" cm="1">
        <f t="array" aca="1" ref="L3" ca="1">_xlfn.XLOOKUP(MID(CELL("filename",$A$1),FIND("]",CELL("filename",$A$1))+1,31)&amp;$L$2&amp;$F$1,採点基準_単元別!$R$3:$R$100000,採点基準_単元別!$F$3:$F$100000,_xlfn.XLOOKUP(MID(CELL("filename",$A$1),FIND("]",CELL("filename",$A$1))+1,31)&amp;$L$2&amp;$F$1,採点基準_単元別!$S$3:$S$100000,採点基準_単元別!$J$3:$J$100000,_xlfn.XLOOKUP(MID(CELL("filename",$A$1),FIND("]",CELL("filename",$A$1))+1,31)&amp;$L$2&amp;$F$1,採点基準_単元別!$T$3:$T$100000,採点基準_単元別!$N$3:$N$100000,"見つかりません")))</f>
        <v>見つかりません</v>
      </c>
      <c r="M3" s="24" cm="1">
        <f t="array" aca="1" ref="M3" ca="1">_xlfn.XLOOKUP(MID(CELL("filename",$A$1),FIND("]",CELL("filename",$A$1))+1,31)&amp;$M$2&amp;$F$1,採点基準_単元別!$R$3:$R$100000,採点基準_単元別!$F$3:$F$100000,_xlfn.XLOOKUP(MID(CELL("filename",$A$1),FIND("]",CELL("filename",$A$1))+1,31)&amp;$M$2&amp;$F$1,採点基準_単元別!$S$3:$S$100000,採点基準_単元別!$J$3:$J$100000,_xlfn.XLOOKUP(MID(CELL("filename",$A$1),FIND("]",CELL("filename",$A$1))+1,31)&amp;$M$2&amp;$F$1,採点基準_単元別!$T$3:$T$100000,採点基準_単元別!$N$3:$N$100000,"見つかりません")))</f>
        <v>0</v>
      </c>
      <c r="N3" s="24"/>
      <c r="O3" s="24"/>
      <c r="P3" s="24"/>
      <c r="Q3" s="24" cm="1">
        <f t="array" aca="1" ref="Q3" ca="1">_xlfn.XLOOKUP(MID(CELL("filename",$A$1),FIND("]",CELL("filename",$A$1))+1,31)&amp;$Q$2&amp;$Q$1,採点基準_単元別!$R$3:$R$100000,採点基準_単元別!$F$3:$F$100000,_xlfn.XLOOKUP(MID(CELL("filename",$A$1),FIND("]",CELL("filename",$A$1))+1,31)&amp;$Q$2&amp;$Q$1,採点基準_単元別!$S$3:$S$100000,採点基準_単元別!$J$3:$J$100000,_xlfn.XLOOKUP(MID(CELL("filename",$A$1),FIND("]",CELL("filename",$A$1))+1,31)&amp;$Q$2&amp;$Q$1,採点基準_単元別!$T$3:$T$100000,採点基準_単元別!$N$3:$N$100000,"見つかりません")))</f>
        <v>0</v>
      </c>
      <c r="R3" s="24" cm="1">
        <f t="array" aca="1" ref="R3" ca="1">_xlfn.XLOOKUP(MID(CELL("filename",$A$1),FIND("]",CELL("filename",$A$1))+1,31)&amp;$R$2&amp;$Q$1,採点基準_単元別!$R$3:$R$100000,採点基準_単元別!$F$3:$F$100000,_xlfn.XLOOKUP(MID(CELL("filename",$A$1),FIND("]",CELL("filename",$A$1))+1,31)&amp;$R$2&amp;$Q$1,採点基準_単元別!$S$3:$S$100000,採点基準_単元別!$J$3:$J$100000,_xlfn.XLOOKUP(MID(CELL("filename",$A$1),FIND("]",CELL("filename",$A$1))+1,31)&amp;$R$2&amp;$Q$1,採点基準_単元別!$T$3:$T$100000,採点基準_単元別!$N$3:$N$100000,"見つかりません")))</f>
        <v>0</v>
      </c>
      <c r="S3" s="24" cm="1">
        <f t="array" aca="1" ref="S3" ca="1">_xlfn.XLOOKUP(MID(CELL("filename",$A$1),FIND("]",CELL("filename",$A$1))+1,31)&amp;$S$2&amp;$Q$1,採点基準_単元別!$R$3:$R$100000,採点基準_単元別!$F$3:$F$100000,_xlfn.XLOOKUP(MID(CELL("filename",$A$1),FIND("]",CELL("filename",$A$1))+1,31)&amp;$S$2&amp;$Q$1,採点基準_単元別!$S$3:$S$100000,採点基準_単元別!$J$3:$J$100000,_xlfn.XLOOKUP(MID(CELL("filename",$A$1),FIND("]",CELL("filename",$A$1))+1,31)&amp;$S$2&amp;$Q$1,採点基準_単元別!$T$3:$T$100000,採点基準_単元別!$N$3:$N$100000,"見つかりません")))</f>
        <v>0</v>
      </c>
      <c r="T3" s="24" cm="1">
        <f t="array" aca="1" ref="T3" ca="1">_xlfn.XLOOKUP(MID(CELL("filename",$A$1),FIND("]",CELL("filename",$A$1))+1,31)&amp;$T$2&amp;$Q$1,採点基準_単元別!$R$3:$R$100000,採点基準_単元別!$F$3:$F$100000,_xlfn.XLOOKUP(MID(CELL("filename",$A$1),FIND("]",CELL("filename",$A$1))+1,31)&amp;$T$2&amp;$Q$1,採点基準_単元別!$S$3:$S$100000,採点基準_単元別!$J$3:$J$100000,_xlfn.XLOOKUP(MID(CELL("filename",$A$1),FIND("]",CELL("filename",$A$1))+1,31)&amp;$T$2&amp;$Q$1,採点基準_単元別!$T$3:$T$100000,採点基準_単元別!$N$3:$N$100000,"見つかりません")))</f>
        <v>0</v>
      </c>
      <c r="U3" s="24" cm="1">
        <f t="array" aca="1" ref="U3" ca="1">_xlfn.XLOOKUP(MID(CELL("filename",$A$1),FIND("]",CELL("filename",$A$1))+1,31)&amp;$U$2&amp;$Q$1,採点基準_単元別!$R$3:$R$100000,採点基準_単元別!$F$3:$F$100000,_xlfn.XLOOKUP(MID(CELL("filename",$A$1),FIND("]",CELL("filename",$A$1))+1,31)&amp;$U$2&amp;$Q$1,採点基準_単元別!$S$3:$S$100000,採点基準_単元別!$J$3:$J$100000,_xlfn.XLOOKUP(MID(CELL("filename",$A$1),FIND("]",CELL("filename",$A$1))+1,31)&amp;$U$2&amp;$Q$1,採点基準_単元別!$T$3:$T$100000,採点基準_単元別!$N$3:$N$100000,"見つかりません")))</f>
        <v>0</v>
      </c>
      <c r="V3" s="24" cm="1">
        <f t="array" aca="1" ref="V3" ca="1">_xlfn.XLOOKUP(MID(CELL("filename",$A$1),FIND("]",CELL("filename",$A$1))+1,31)&amp;$V$2&amp;$Q$1,採点基準_単元別!$R$3:$R$100000,採点基準_単元別!$F$3:$F$100000,_xlfn.XLOOKUP(MID(CELL("filename",$A$1),FIND("]",CELL("filename",$A$1))+1,31)&amp;$V$2&amp;$Q$1,採点基準_単元別!$S$3:$S$100000,採点基準_単元別!$J$3:$J$100000,_xlfn.XLOOKUP(MID(CELL("filename",$A$1),FIND("]",CELL("filename",$A$1))+1,31)&amp;$V$2&amp;$Q$1,採点基準_単元別!$T$3:$T$100000,採点基準_単元別!$N$3:$N$100000,"見つかりません")))</f>
        <v>100</v>
      </c>
      <c r="W3" s="24" cm="1">
        <f t="array" aca="1" ref="W3" ca="1">_xlfn.XLOOKUP(MID(CELL("filename",$A$1),FIND("]",CELL("filename",$A$1))+1,31)&amp;$W$2&amp;$Q$1,採点基準_単元別!$R$3:$R$100000,採点基準_単元別!$F$3:$F$100000,_xlfn.XLOOKUP(MID(CELL("filename",$A$1),FIND("]",CELL("filename",$A$1))+1,31)&amp;$W$2&amp;$Q$1,採点基準_単元別!$S$3:$S$100000,採点基準_単元別!$J$3:$J$100000,_xlfn.XLOOKUP(MID(CELL("filename",$A$1),FIND("]",CELL("filename",$A$1))+1,31)&amp;$W$2&amp;$Q$1,採点基準_単元別!$T$3:$T$100000,採点基準_単元別!$N$3:$N$100000,"見つかりません")))</f>
        <v>100</v>
      </c>
      <c r="X3" s="24"/>
      <c r="Y3" s="24"/>
      <c r="Z3" s="24"/>
      <c r="AA3" s="24" t="str" cm="1">
        <f t="array" aca="1" ref="AA3" ca="1">_xlfn.XLOOKUP(MID(CELL("filename",$A$1),FIND("]",CELL("filename",$A$1))+1,31)&amp;$AA$2&amp;$AA$1,採点基準_単元別!$R$3:$R$100000,採点基準_単元別!$F$3:$F$100000,_xlfn.XLOOKUP(MID(CELL("filename",$A$1),FIND("]",CELL("filename",$A$1))+1,31)&amp;$AA$2&amp;$AA$1,採点基準_単元別!$S$3:$S$100000,採点基準_単元別!$J$3:$J$100000,_xlfn.XLOOKUP(MID(CELL("filename",$A$1),FIND("]",CELL("filename",$A$1))+1,31)&amp;$AA$2&amp;$AA$1,採点基準_単元別!$T$3:$T$100000,採点基準_単元別!$N$3:$N$100000,"見つかりません")))</f>
        <v>見つかりません</v>
      </c>
      <c r="AB3" s="24" t="str" cm="1">
        <f t="array" aca="1" ref="AB3" ca="1">_xlfn.XLOOKUP(MID(CELL("filename",$A$1),FIND("]",CELL("filename",$A$1))+1,31)&amp;$AB$2&amp;$AA$1,採点基準_単元別!$R$3:$R$100000,採点基準_単元別!$F$3:$F$100000,_xlfn.XLOOKUP(MID(CELL("filename",$A$1),FIND("]",CELL("filename",$A$1))+1,31)&amp;$AB$2&amp;$AA$1,採点基準_単元別!$S$3:$S$100000,採点基準_単元別!$J$3:$J$100000,_xlfn.XLOOKUP(MID(CELL("filename",$A$1),FIND("]",CELL("filename",$A$1))+1,31)&amp;$AB$2&amp;$AA$1,採点基準_単元別!$T$3:$T$100000,採点基準_単元別!$N$3:$N$100000,"見つかりません")))</f>
        <v>見つかりません</v>
      </c>
      <c r="AC3" s="24" t="str" cm="1">
        <f t="array" aca="1" ref="AC3" ca="1">_xlfn.XLOOKUP(MID(CELL("filename",$A$1),FIND("]",CELL("filename",$A$1))+1,31)&amp;$AC$2&amp;$AA$1,採点基準_単元別!$R$3:$R$100000,採点基準_単元別!$F$3:$F$100000,_xlfn.XLOOKUP(MID(CELL("filename",$A$1),FIND("]",CELL("filename",$A$1))+1,31)&amp;$AC$2&amp;$AA$1,採点基準_単元別!$S$3:$S$100000,採点基準_単元別!$J$3:$J$100000,_xlfn.XLOOKUP(MID(CELL("filename",$A$1),FIND("]",CELL("filename",$A$1))+1,31)&amp;$AC$2&amp;$AA$1,採点基準_単元別!$T$3:$T$100000,採点基準_単元別!$N$3:$N$100000,"見つかりません")))</f>
        <v>見つかりません</v>
      </c>
      <c r="AD3" s="24" t="str" cm="1">
        <f t="array" aca="1" ref="AD3" ca="1">_xlfn.XLOOKUP(MID(CELL("filename",$A$1),FIND("]",CELL("filename",$A$1))+1,31)&amp;$AD$2&amp;$AA$1,採点基準_単元別!$R$3:$R$100000,採点基準_単元別!$F$3:$F$100000,_xlfn.XLOOKUP(MID(CELL("filename",$A$1),FIND("]",CELL("filename",$A$1))+1,31)&amp;$AD$2&amp;$AA$1,採点基準_単元別!$S$3:$S$100000,採点基準_単元別!$J$3:$J$100000,_xlfn.XLOOKUP(MID(CELL("filename",$A$1),FIND("]",CELL("filename",$A$1))+1,31)&amp;$AD$2&amp;$AA$1,採点基準_単元別!$T$3:$T$100000,採点基準_単元別!$N$3:$N$100000,"見つかりません")))</f>
        <v>見つかりません</v>
      </c>
      <c r="AE3" s="24" t="str" cm="1">
        <f t="array" aca="1" ref="AE3" ca="1">_xlfn.XLOOKUP(MID(CELL("filename",$A$1),FIND("]",CELL("filename",$A$1))+1,31)&amp;$AE$2&amp;$AA$1,採点基準_単元別!$R$3:$R$100000,採点基準_単元別!$F$3:$F$100000,_xlfn.XLOOKUP(MID(CELL("filename",$A$1),FIND("]",CELL("filename",$A$1))+1,31)&amp;$AE$2&amp;$AA$1,採点基準_単元別!$S$3:$S$100000,採点基準_単元別!$J$3:$J$100000,_xlfn.XLOOKUP(MID(CELL("filename",$A$1),FIND("]",CELL("filename",$A$1))+1,31)&amp;$AE$2&amp;$AA$1,採点基準_単元別!$T$3:$T$100000,採点基準_単元別!$N$3:$N$100000,"見つかりません")))</f>
        <v>見つかりません</v>
      </c>
      <c r="AF3" s="24" t="str" cm="1">
        <f t="array" aca="1" ref="AF3" ca="1">_xlfn.XLOOKUP(MID(CELL("filename",$A$1),FIND("]",CELL("filename",$A$1))+1,31)&amp;$AF$2&amp;$AA$1,採点基準_単元別!$R$3:$R$100000,採点基準_単元別!$F$3:$F$100000,_xlfn.XLOOKUP(MID(CELL("filename",$A$1),FIND("]",CELL("filename",$A$1))+1,31)&amp;$AF$2&amp;$AA$1,採点基準_単元別!$S$3:$S$100000,採点基準_単元別!$J$3:$J$100000,_xlfn.XLOOKUP(MID(CELL("filename",$A$1),FIND("]",CELL("filename",$A$1))+1,31)&amp;$AF$2&amp;$AA$1,採点基準_単元別!$T$3:$T$100000,採点基準_単元別!$N$3:$N$100000,"見つかりません")))</f>
        <v>見つかりません</v>
      </c>
      <c r="AG3" s="24" t="str" cm="1">
        <f t="array" aca="1" ref="AG3" ca="1">_xlfn.XLOOKUP(MID(CELL("filename",$A$1),FIND("]",CELL("filename",$A$1))+1,31)&amp;$AG$2&amp;$AA$1,採点基準_単元別!$R$3:$R$100000,採点基準_単元別!$F$3:$F$100000,_xlfn.XLOOKUP(MID(CELL("filename",$A$1),FIND("]",CELL("filename",$A$1))+1,31)&amp;$AG$2&amp;$AA$1,採点基準_単元別!$S$3:$S$100000,採点基準_単元別!$J$3:$J$100000,_xlfn.XLOOKUP(MID(CELL("filename",$A$1),FIND("]",CELL("filename",$A$1))+1,31)&amp;$AG$2&amp;$AA$1,採点基準_単元別!$T$3:$T$100000,採点基準_単元別!$N$3:$N$100000,"見つかりません")))</f>
        <v>見つかりません</v>
      </c>
      <c r="AH3" s="24" t="str" cm="1">
        <f t="array" aca="1" ref="AH3" ca="1">_xlfn.XLOOKUP(MID(CELL("filename",$A$1),FIND("]",CELL("filename",$A$1))+1,31)&amp;$AH$2&amp;$AA$1,採点基準_単元別!$R$3:$R$100000,採点基準_単元別!$F$3:$F$100000,_xlfn.XLOOKUP(MID(CELL("filename",$A$1),FIND("]",CELL("filename",$A$1))+1,31)&amp;$AH$2&amp;$AA$1,採点基準_単元別!$S$3:$S$100000,採点基準_単元別!$J$3:$J$100000,_xlfn.XLOOKUP(MID(CELL("filename",$A$1),FIND("]",CELL("filename",$A$1))+1,31)&amp;$AH$2&amp;$AA$1,採点基準_単元別!$T$3:$T$100000,採点基準_単元別!$N$3:$N$100000,"見つかりません")))</f>
        <v>見つかりません</v>
      </c>
      <c r="AI3" s="24"/>
      <c r="AJ3" s="24"/>
      <c r="AK3" s="24"/>
    </row>
    <row r="4" spans="1:37" x14ac:dyDescent="0.4">
      <c r="A4" s="53"/>
      <c r="B4" s="41" t="s">
        <v>159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</row>
    <row r="5" spans="1:37" x14ac:dyDescent="0.4">
      <c r="A5" s="34">
        <v>1</v>
      </c>
      <c r="B5" s="34" t="s">
        <v>89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 t="str">
        <f>IF(COUNTA(F5:M5)=0,"未入力",SUM(F5:M5))</f>
        <v>未入力</v>
      </c>
      <c r="O5" s="34" t="str">
        <f>IFERROR(ROUNDDOWN(N5/ (IF(F5= "",0,$F$3)+IF(G5= "",0,$G$3)+IF(H5= "",0,$H$3)+IF(I5= "",0,$I$3)+IF(J5= "",0,$J$3)+IF(K5= "",0,$K$3)+IF(L5= "",0,$L$3)+IF(M5= "",0,$M$3))*100,0),"")</f>
        <v/>
      </c>
      <c r="P5" s="34" t="str" cm="1">
        <f t="array" aca="1" ref="P5" ca="1">IF(O5 = "","",IF(O5&gt;=INDEX(採点基準_観点別!$C$3:$C$1000,_xlfn.XMATCH(MID(CELL("filename",$A$1),FIND("]",CELL("filename",$A$1))+1,31)&amp;$F$1,採点基準_観点別!$F$3:$F$1000)),"A",IF(O5&gt;=INDEX(採点基準_観点別!$D$3:$D$1000,_xlfn.XMATCH(MID(CELL("filename",$A$1),FIND("]",CELL("filename",$A$1))+1,31)&amp;$F$1,採点基準_観点別!$F$3:$F$1000)),"B",IF(O5&lt;=INDEX(採点基準_観点別!$E$3:$E$1000,_xlfn.XMATCH(MID(CELL("filename",$A$1),FIND("]",CELL("filename",$A$1))+1,31)&amp;$F$1,採点基準_観点別!$F$3:$F$1000)),"C","採点基準が不正です"))))</f>
        <v/>
      </c>
      <c r="Q5" s="34"/>
      <c r="R5" s="34"/>
      <c r="S5" s="34"/>
      <c r="T5" s="34"/>
      <c r="U5" s="34"/>
      <c r="V5" s="34"/>
      <c r="W5" s="34"/>
      <c r="X5" s="34" t="str">
        <f>IF(COUNTA(Q5:W5)=0,"未入力",SUM(Q5:W5))</f>
        <v>未入力</v>
      </c>
      <c r="Y5" s="34" t="str">
        <f>IFERROR(ROUNDDOWN(X5/ (IF(Q5= "",0,$Q$3)+IF(R5= "",0,$R$3)+IF(S5= "",0,$S$3)+IF(T5= "",0,$T$3)+IF(U5= "",0,$U$3)+IF(V5= "",0,$V$3)+IF(W5= "",0,$W$3))*100,0),"")</f>
        <v/>
      </c>
      <c r="Z5" s="34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  <c r="AA5" s="34"/>
      <c r="AB5" s="34"/>
      <c r="AC5" s="34"/>
      <c r="AD5" s="34"/>
      <c r="AE5" s="34"/>
      <c r="AF5" s="34"/>
      <c r="AG5" s="34"/>
      <c r="AH5" s="34"/>
      <c r="AI5" s="34" t="str">
        <f>IF(COUNTA(AA5:AH5)=0,"未入力",SUM(AA5:AH5))</f>
        <v>未入力</v>
      </c>
      <c r="AJ5" s="34" t="str">
        <f>IFERROR(ROUNDDOWN(AI5/ (IF(AA5= "",0,$AA$3)+IF(AB5= "",0,$AB$3)+IF(AC5= "",0,$AC$3)+IF(AD5= "",0,$AD$3)+IF(AE5= "",0,$AE$3)+IF(AF5= "",0,$AF$3)+IF(AG5= "",0,$AG$3)+IF(AH5= "",0,$AH$3))*100,0),"")</f>
        <v/>
      </c>
      <c r="AK5" s="34" t="str" cm="1">
        <f t="array" aca="1" ref="AK5" ca="1">IF(AJ5 = "","",IF(AJ5&gt;=INDEX(採点基準_観点別!$C$3:$C$1000,_xlfn.XMATCH(MID(CELL("filename",$A$1),FIND("]",CELL("filename",$A$1))+1,31)&amp;$F$1,採点基準_観点別!$F$3:$F$1000)),"A",IF(AJ5&gt;=INDEX(採点基準_観点別!$D$3:$D$1000,_xlfn.XMATCH(MID(CELL("filename",$A$1),FIND("]",CELL("filename",$A$1))+1,31)&amp;$F$1,採点基準_観点別!$F$3:$F$1000)),"B",IF(AJ5&lt;=INDEX(採点基準_観点別!$E$3:$E$1000,_xlfn.XMATCH(MID(CELL("filename",$A$1),FIND("]",CELL("filename",$A$1))+1,31)&amp;$F$1,採点基準_観点別!$F$3:$F$1000)),"C","採点基準が不正です"))))</f>
        <v/>
      </c>
    </row>
    <row r="6" spans="1:37" x14ac:dyDescent="0.4">
      <c r="A6" s="57">
        <v>2</v>
      </c>
      <c r="B6" s="57" t="s">
        <v>90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 t="str">
        <f t="shared" ref="N6:N24" si="0">IF(COUNTA(F6:M6)=0,"未入力",SUM(F6:M6))</f>
        <v>未入力</v>
      </c>
      <c r="O6" s="25" t="str">
        <f t="shared" ref="O6:O24" si="1">IFERROR(ROUNDDOWN(N6/ (IF(F6= "",0,$F$3)+IF(G6= "",0,$G$3)+IF(H6= "",0,$H$3)+IF(I6= "",0,$I$3)+IF(J6= "",0,$J$3)+IF(K6= "",0,$K$3)+IF(L6= "",0,$L$3)+IF(M6= "",0,$M$3))*100,0),"")</f>
        <v/>
      </c>
      <c r="P6" s="25" t="str" cm="1">
        <f t="array" aca="1" ref="P6" ca="1">IF(O6 = "","",IF(O6&gt;=INDEX(採点基準_観点別!$C$3:$C$1000,_xlfn.XMATCH(MID(CELL("filename",$A$1),FIND("]",CELL("filename",$A$1))+1,31)&amp;$F$1,採点基準_観点別!$F$3:$F$1000)),"A",IF(O6&gt;=INDEX(採点基準_観点別!$D$3:$D$1000,_xlfn.XMATCH(MID(CELL("filename",$A$1),FIND("]",CELL("filename",$A$1))+1,31)&amp;$F$1,採点基準_観点別!$F$3:$F$1000)),"B",IF(O6&lt;=INDEX(採点基準_観点別!$E$3:$E$1000,_xlfn.XMATCH(MID(CELL("filename",$A$1),FIND("]",CELL("filename",$A$1))+1,31)&amp;$F$1,採点基準_観点別!$F$3:$F$1000)),"C","採点基準が不正です"))))</f>
        <v/>
      </c>
      <c r="Q6" s="25"/>
      <c r="R6" s="25"/>
      <c r="S6" s="25"/>
      <c r="T6" s="25"/>
      <c r="U6" s="25"/>
      <c r="V6" s="25"/>
      <c r="W6" s="25"/>
      <c r="X6" s="25" t="str">
        <f t="shared" ref="X6:X24" si="2">IF(COUNTA(Q6:W6)=0,"未入力",SUM(Q6:W6))</f>
        <v>未入力</v>
      </c>
      <c r="Y6" s="25" t="str">
        <f t="shared" ref="Y6:Y24" si="3">IFERROR(ROUNDDOWN(X6/ (IF(Q6= "",0,$Q$3)+IF(R6= "",0,$R$3)+IF(S6= "",0,$S$3)+IF(T6= "",0,$T$3)+IF(U6= "",0,$U$3)+IF(V6= "",0,$V$3)+IF(W6= "",0,$W$3))*100,0),"")</f>
        <v/>
      </c>
      <c r="Z6" s="25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  <c r="AA6" s="25"/>
      <c r="AB6" s="25"/>
      <c r="AC6" s="25"/>
      <c r="AD6" s="25"/>
      <c r="AE6" s="25"/>
      <c r="AF6" s="25"/>
      <c r="AG6" s="25"/>
      <c r="AH6" s="25"/>
      <c r="AI6" s="25" t="str">
        <f t="shared" ref="AI6:AI24" si="4">IF(COUNTA(AA6:AH6)=0,"未入力",SUM(AA6:AH6))</f>
        <v>未入力</v>
      </c>
      <c r="AJ6" s="25" t="str">
        <f t="shared" ref="AJ6:AJ24" si="5">IFERROR(ROUNDDOWN(AI6/ (IF(AA6= "",0,$AA$3)+IF(AB6= "",0,$AB$3)+IF(AC6= "",0,$AC$3)+IF(AD6= "",0,$AD$3)+IF(AE6= "",0,$AE$3)+IF(AF6= "",0,$AF$3)+IF(AG6= "",0,$AG$3)+IF(AH6= "",0,$AH$3))*100,0),"")</f>
        <v/>
      </c>
      <c r="AK6" s="25" t="str" cm="1">
        <f t="array" aca="1" ref="AK6" ca="1">IF(AJ6 = "","",IF(AJ6&gt;=INDEX(採点基準_観点別!$C$3:$C$1000,_xlfn.XMATCH(MID(CELL("filename",$A$1),FIND("]",CELL("filename",$A$1))+1,31)&amp;$F$1,採点基準_観点別!$F$3:$F$1000)),"A",IF(AJ6&gt;=INDEX(採点基準_観点別!$D$3:$D$1000,_xlfn.XMATCH(MID(CELL("filename",$A$1),FIND("]",CELL("filename",$A$1))+1,31)&amp;$F$1,採点基準_観点別!$F$3:$F$1000)),"B",IF(AJ6&lt;=INDEX(採点基準_観点別!$E$3:$E$1000,_xlfn.XMATCH(MID(CELL("filename",$A$1),FIND("]",CELL("filename",$A$1))+1,31)&amp;$F$1,採点基準_観点別!$F$3:$F$1000)),"C","採点基準が不正です"))))</f>
        <v/>
      </c>
    </row>
    <row r="7" spans="1:37" x14ac:dyDescent="0.4">
      <c r="A7" s="34">
        <v>3</v>
      </c>
      <c r="B7" s="34" t="s">
        <v>89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 t="str">
        <f t="shared" si="0"/>
        <v>未入力</v>
      </c>
      <c r="O7" s="34" t="str">
        <f t="shared" si="1"/>
        <v/>
      </c>
      <c r="P7" s="34" t="str" cm="1">
        <f t="array" aca="1" ref="P7" ca="1">IF(O7 = "","",IF(O7&gt;=INDEX(採点基準_観点別!$C$3:$C$1000,_xlfn.XMATCH(MID(CELL("filename",$A$1),FIND("]",CELL("filename",$A$1))+1,31)&amp;$F$1,採点基準_観点別!$F$3:$F$1000)),"A",IF(O7&gt;=INDEX(採点基準_観点別!$D$3:$D$1000,_xlfn.XMATCH(MID(CELL("filename",$A$1),FIND("]",CELL("filename",$A$1))+1,31)&amp;$F$1,採点基準_観点別!$F$3:$F$1000)),"B",IF(O7&lt;=INDEX(採点基準_観点別!$E$3:$E$1000,_xlfn.XMATCH(MID(CELL("filename",$A$1),FIND("]",CELL("filename",$A$1))+1,31)&amp;$F$1,採点基準_観点別!$F$3:$F$1000)),"C","採点基準が不正です"))))</f>
        <v/>
      </c>
      <c r="Q7" s="34"/>
      <c r="R7" s="34"/>
      <c r="S7" s="34"/>
      <c r="T7" s="34"/>
      <c r="U7" s="34"/>
      <c r="V7" s="34"/>
      <c r="W7" s="34"/>
      <c r="X7" s="34" t="str">
        <f t="shared" si="2"/>
        <v>未入力</v>
      </c>
      <c r="Y7" s="34" t="str">
        <f t="shared" si="3"/>
        <v/>
      </c>
      <c r="Z7" s="34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  <c r="AA7" s="34"/>
      <c r="AB7" s="34"/>
      <c r="AC7" s="34"/>
      <c r="AD7" s="34"/>
      <c r="AE7" s="34"/>
      <c r="AF7" s="34"/>
      <c r="AG7" s="34"/>
      <c r="AH7" s="34"/>
      <c r="AI7" s="34" t="str">
        <f t="shared" si="4"/>
        <v>未入力</v>
      </c>
      <c r="AJ7" s="34" t="str">
        <f t="shared" si="5"/>
        <v/>
      </c>
      <c r="AK7" s="34" t="str" cm="1">
        <f t="array" aca="1" ref="AK7" ca="1">IF(AJ7 = "","",IF(AJ7&gt;=INDEX(採点基準_観点別!$C$3:$C$1000,_xlfn.XMATCH(MID(CELL("filename",$A$1),FIND("]",CELL("filename",$A$1))+1,31)&amp;$F$1,採点基準_観点別!$F$3:$F$1000)),"A",IF(AJ7&gt;=INDEX(採点基準_観点別!$D$3:$D$1000,_xlfn.XMATCH(MID(CELL("filename",$A$1),FIND("]",CELL("filename",$A$1))+1,31)&amp;$F$1,採点基準_観点別!$F$3:$F$1000)),"B",IF(AJ7&lt;=INDEX(採点基準_観点別!$E$3:$E$1000,_xlfn.XMATCH(MID(CELL("filename",$A$1),FIND("]",CELL("filename",$A$1))+1,31)&amp;$F$1,採点基準_観点別!$F$3:$F$1000)),"C","採点基準が不正です"))))</f>
        <v/>
      </c>
    </row>
    <row r="8" spans="1:37" x14ac:dyDescent="0.4">
      <c r="A8" s="57">
        <v>4</v>
      </c>
      <c r="B8" s="57" t="s">
        <v>90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 t="str">
        <f t="shared" si="0"/>
        <v>未入力</v>
      </c>
      <c r="O8" s="25" t="str">
        <f t="shared" si="1"/>
        <v/>
      </c>
      <c r="P8" s="25" t="str" cm="1">
        <f t="array" aca="1" ref="P8" ca="1">IF(O8 = "","",IF(O8&gt;=INDEX(採点基準_観点別!$C$3:$C$1000,_xlfn.XMATCH(MID(CELL("filename",$A$1),FIND("]",CELL("filename",$A$1))+1,31)&amp;$F$1,採点基準_観点別!$F$3:$F$1000)),"A",IF(O8&gt;=INDEX(採点基準_観点別!$D$3:$D$1000,_xlfn.XMATCH(MID(CELL("filename",$A$1),FIND("]",CELL("filename",$A$1))+1,31)&amp;$F$1,採点基準_観点別!$F$3:$F$1000)),"B",IF(O8&lt;=INDEX(採点基準_観点別!$E$3:$E$1000,_xlfn.XMATCH(MID(CELL("filename",$A$1),FIND("]",CELL("filename",$A$1))+1,31)&amp;$F$1,採点基準_観点別!$F$3:$F$1000)),"C","採点基準が不正です"))))</f>
        <v/>
      </c>
      <c r="Q8" s="25"/>
      <c r="R8" s="25"/>
      <c r="S8" s="25"/>
      <c r="T8" s="25"/>
      <c r="U8" s="25"/>
      <c r="V8" s="25"/>
      <c r="W8" s="25"/>
      <c r="X8" s="25" t="str">
        <f t="shared" si="2"/>
        <v>未入力</v>
      </c>
      <c r="Y8" s="25" t="str">
        <f t="shared" si="3"/>
        <v/>
      </c>
      <c r="Z8" s="25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  <c r="AA8" s="25"/>
      <c r="AB8" s="25"/>
      <c r="AC8" s="25"/>
      <c r="AD8" s="25"/>
      <c r="AE8" s="25"/>
      <c r="AF8" s="25"/>
      <c r="AG8" s="25"/>
      <c r="AH8" s="25"/>
      <c r="AI8" s="25" t="str">
        <f t="shared" si="4"/>
        <v>未入力</v>
      </c>
      <c r="AJ8" s="25" t="str">
        <f t="shared" si="5"/>
        <v/>
      </c>
      <c r="AK8" s="25" t="str" cm="1">
        <f t="array" aca="1" ref="AK8" ca="1">IF(AJ8 = "","",IF(AJ8&gt;=INDEX(採点基準_観点別!$C$3:$C$1000,_xlfn.XMATCH(MID(CELL("filename",$A$1),FIND("]",CELL("filename",$A$1))+1,31)&amp;$F$1,採点基準_観点別!$F$3:$F$1000)),"A",IF(AJ8&gt;=INDEX(採点基準_観点別!$D$3:$D$1000,_xlfn.XMATCH(MID(CELL("filename",$A$1),FIND("]",CELL("filename",$A$1))+1,31)&amp;$F$1,採点基準_観点別!$F$3:$F$1000)),"B",IF(AJ8&lt;=INDEX(採点基準_観点別!$E$3:$E$1000,_xlfn.XMATCH(MID(CELL("filename",$A$1),FIND("]",CELL("filename",$A$1))+1,31)&amp;$F$1,採点基準_観点別!$F$3:$F$1000)),"C","採点基準が不正です"))))</f>
        <v/>
      </c>
    </row>
    <row r="9" spans="1:37" x14ac:dyDescent="0.4">
      <c r="A9" s="34">
        <v>5</v>
      </c>
      <c r="B9" s="34" t="s">
        <v>89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 t="str">
        <f t="shared" si="0"/>
        <v>未入力</v>
      </c>
      <c r="O9" s="34" t="str">
        <f t="shared" si="1"/>
        <v/>
      </c>
      <c r="P9" s="34" t="str" cm="1">
        <f t="array" aca="1" ref="P9" ca="1">IF(O9 = "","",IF(O9&gt;=INDEX(採点基準_観点別!$C$3:$C$1000,_xlfn.XMATCH(MID(CELL("filename",$A$1),FIND("]",CELL("filename",$A$1))+1,31)&amp;$F$1,採点基準_観点別!$F$3:$F$1000)),"A",IF(O9&gt;=INDEX(採点基準_観点別!$D$3:$D$1000,_xlfn.XMATCH(MID(CELL("filename",$A$1),FIND("]",CELL("filename",$A$1))+1,31)&amp;$F$1,採点基準_観点別!$F$3:$F$1000)),"B",IF(O9&lt;=INDEX(採点基準_観点別!$E$3:$E$1000,_xlfn.XMATCH(MID(CELL("filename",$A$1),FIND("]",CELL("filename",$A$1))+1,31)&amp;$F$1,採点基準_観点別!$F$3:$F$1000)),"C","採点基準が不正です"))))</f>
        <v/>
      </c>
      <c r="Q9" s="34"/>
      <c r="R9" s="34"/>
      <c r="S9" s="34"/>
      <c r="T9" s="34"/>
      <c r="U9" s="34"/>
      <c r="V9" s="34"/>
      <c r="W9" s="34"/>
      <c r="X9" s="34" t="str">
        <f t="shared" si="2"/>
        <v>未入力</v>
      </c>
      <c r="Y9" s="34" t="str">
        <f t="shared" si="3"/>
        <v/>
      </c>
      <c r="Z9" s="34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  <c r="AA9" s="34"/>
      <c r="AB9" s="34"/>
      <c r="AC9" s="34"/>
      <c r="AD9" s="34"/>
      <c r="AE9" s="34"/>
      <c r="AF9" s="34"/>
      <c r="AG9" s="34"/>
      <c r="AH9" s="34"/>
      <c r="AI9" s="34" t="str">
        <f t="shared" si="4"/>
        <v>未入力</v>
      </c>
      <c r="AJ9" s="34" t="str">
        <f t="shared" si="5"/>
        <v/>
      </c>
      <c r="AK9" s="34" t="str" cm="1">
        <f t="array" aca="1" ref="AK9" ca="1">IF(AJ9 = "","",IF(AJ9&gt;=INDEX(採点基準_観点別!$C$3:$C$1000,_xlfn.XMATCH(MID(CELL("filename",$A$1),FIND("]",CELL("filename",$A$1))+1,31)&amp;$F$1,採点基準_観点別!$F$3:$F$1000)),"A",IF(AJ9&gt;=INDEX(採点基準_観点別!$D$3:$D$1000,_xlfn.XMATCH(MID(CELL("filename",$A$1),FIND("]",CELL("filename",$A$1))+1,31)&amp;$F$1,採点基準_観点別!$F$3:$F$1000)),"B",IF(AJ9&lt;=INDEX(採点基準_観点別!$E$3:$E$1000,_xlfn.XMATCH(MID(CELL("filename",$A$1),FIND("]",CELL("filename",$A$1))+1,31)&amp;$F$1,採点基準_観点別!$F$3:$F$1000)),"C","採点基準が不正です"))))</f>
        <v/>
      </c>
    </row>
    <row r="10" spans="1:37" x14ac:dyDescent="0.4">
      <c r="A10" s="57">
        <v>6</v>
      </c>
      <c r="B10" s="57" t="s">
        <v>90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 t="str">
        <f t="shared" si="0"/>
        <v>未入力</v>
      </c>
      <c r="O10" s="25" t="str">
        <f t="shared" si="1"/>
        <v/>
      </c>
      <c r="P10" s="25" t="str" cm="1">
        <f t="array" aca="1" ref="P10" ca="1">IF(O10 = "","",IF(O10&gt;=INDEX(採点基準_観点別!$C$3:$C$1000,_xlfn.XMATCH(MID(CELL("filename",$A$1),FIND("]",CELL("filename",$A$1))+1,31)&amp;$F$1,採点基準_観点別!$F$3:$F$1000)),"A",IF(O10&gt;=INDEX(採点基準_観点別!$D$3:$D$1000,_xlfn.XMATCH(MID(CELL("filename",$A$1),FIND("]",CELL("filename",$A$1))+1,31)&amp;$F$1,採点基準_観点別!$F$3:$F$1000)),"B",IF(O10&lt;=INDEX(採点基準_観点別!$E$3:$E$1000,_xlfn.XMATCH(MID(CELL("filename",$A$1),FIND("]",CELL("filename",$A$1))+1,31)&amp;$F$1,採点基準_観点別!$F$3:$F$1000)),"C","採点基準が不正です"))))</f>
        <v/>
      </c>
      <c r="Q10" s="25"/>
      <c r="R10" s="25"/>
      <c r="S10" s="25"/>
      <c r="T10" s="25"/>
      <c r="U10" s="25"/>
      <c r="V10" s="25"/>
      <c r="W10" s="25"/>
      <c r="X10" s="25" t="str">
        <f t="shared" si="2"/>
        <v>未入力</v>
      </c>
      <c r="Y10" s="25" t="str">
        <f t="shared" si="3"/>
        <v/>
      </c>
      <c r="Z10" s="25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  <c r="AA10" s="25"/>
      <c r="AB10" s="25"/>
      <c r="AC10" s="25"/>
      <c r="AD10" s="25"/>
      <c r="AE10" s="25"/>
      <c r="AF10" s="25"/>
      <c r="AG10" s="25"/>
      <c r="AH10" s="25"/>
      <c r="AI10" s="25" t="str">
        <f t="shared" si="4"/>
        <v>未入力</v>
      </c>
      <c r="AJ10" s="25" t="str">
        <f t="shared" si="5"/>
        <v/>
      </c>
      <c r="AK10" s="25" t="str" cm="1">
        <f t="array" aca="1" ref="AK10" ca="1">IF(AJ10 = "","",IF(AJ10&gt;=INDEX(採点基準_観点別!$C$3:$C$1000,_xlfn.XMATCH(MID(CELL("filename",$A$1),FIND("]",CELL("filename",$A$1))+1,31)&amp;$F$1,採点基準_観点別!$F$3:$F$1000)),"A",IF(AJ10&gt;=INDEX(採点基準_観点別!$D$3:$D$1000,_xlfn.XMATCH(MID(CELL("filename",$A$1),FIND("]",CELL("filename",$A$1))+1,31)&amp;$F$1,採点基準_観点別!$F$3:$F$1000)),"B",IF(AJ10&lt;=INDEX(採点基準_観点別!$E$3:$E$1000,_xlfn.XMATCH(MID(CELL("filename",$A$1),FIND("]",CELL("filename",$A$1))+1,31)&amp;$F$1,採点基準_観点別!$F$3:$F$1000)),"C","採点基準が不正です"))))</f>
        <v/>
      </c>
    </row>
    <row r="11" spans="1:37" x14ac:dyDescent="0.4">
      <c r="A11" s="34">
        <v>7</v>
      </c>
      <c r="B11" s="34" t="s">
        <v>90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 t="str">
        <f t="shared" si="0"/>
        <v>未入力</v>
      </c>
      <c r="O11" s="34" t="str">
        <f t="shared" si="1"/>
        <v/>
      </c>
      <c r="P11" s="34" t="str" cm="1">
        <f t="array" aca="1" ref="P11" ca="1">IF(O11 = "","",IF(O11&gt;=INDEX(採点基準_観点別!$C$3:$C$1000,_xlfn.XMATCH(MID(CELL("filename",$A$1),FIND("]",CELL("filename",$A$1))+1,31)&amp;$F$1,採点基準_観点別!$F$3:$F$1000)),"A",IF(O11&gt;=INDEX(採点基準_観点別!$D$3:$D$1000,_xlfn.XMATCH(MID(CELL("filename",$A$1),FIND("]",CELL("filename",$A$1))+1,31)&amp;$F$1,採点基準_観点別!$F$3:$F$1000)),"B",IF(O11&lt;=INDEX(採点基準_観点別!$E$3:$E$1000,_xlfn.XMATCH(MID(CELL("filename",$A$1),FIND("]",CELL("filename",$A$1))+1,31)&amp;$F$1,採点基準_観点別!$F$3:$F$1000)),"C","採点基準が不正です"))))</f>
        <v/>
      </c>
      <c r="Q11" s="34"/>
      <c r="R11" s="34"/>
      <c r="S11" s="34"/>
      <c r="T11" s="34"/>
      <c r="U11" s="34"/>
      <c r="V11" s="34"/>
      <c r="W11" s="34"/>
      <c r="X11" s="34" t="str">
        <f t="shared" si="2"/>
        <v>未入力</v>
      </c>
      <c r="Y11" s="34" t="str">
        <f t="shared" si="3"/>
        <v/>
      </c>
      <c r="Z11" s="34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  <c r="AA11" s="34"/>
      <c r="AB11" s="34"/>
      <c r="AC11" s="34"/>
      <c r="AD11" s="34"/>
      <c r="AE11" s="34"/>
      <c r="AF11" s="34"/>
      <c r="AG11" s="34"/>
      <c r="AH11" s="34"/>
      <c r="AI11" s="34" t="str">
        <f t="shared" si="4"/>
        <v>未入力</v>
      </c>
      <c r="AJ11" s="34" t="str">
        <f t="shared" si="5"/>
        <v/>
      </c>
      <c r="AK11" s="34" t="str" cm="1">
        <f t="array" aca="1" ref="AK11" ca="1">IF(AJ11 = "","",IF(AJ11&gt;=INDEX(採点基準_観点別!$C$3:$C$1000,_xlfn.XMATCH(MID(CELL("filename",$A$1),FIND("]",CELL("filename",$A$1))+1,31)&amp;$F$1,採点基準_観点別!$F$3:$F$1000)),"A",IF(AJ11&gt;=INDEX(採点基準_観点別!$D$3:$D$1000,_xlfn.XMATCH(MID(CELL("filename",$A$1),FIND("]",CELL("filename",$A$1))+1,31)&amp;$F$1,採点基準_観点別!$F$3:$F$1000)),"B",IF(AJ11&lt;=INDEX(採点基準_観点別!$E$3:$E$1000,_xlfn.XMATCH(MID(CELL("filename",$A$1),FIND("]",CELL("filename",$A$1))+1,31)&amp;$F$1,採点基準_観点別!$F$3:$F$1000)),"C","採点基準が不正です"))))</f>
        <v/>
      </c>
    </row>
    <row r="12" spans="1:37" x14ac:dyDescent="0.4">
      <c r="A12" s="57">
        <v>8</v>
      </c>
      <c r="B12" s="57" t="s">
        <v>89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 t="str">
        <f t="shared" si="0"/>
        <v>未入力</v>
      </c>
      <c r="O12" s="25" t="str">
        <f t="shared" si="1"/>
        <v/>
      </c>
      <c r="P12" s="25" t="str" cm="1">
        <f t="array" aca="1" ref="P12" ca="1">IF(O12 = "","",IF(O12&gt;=INDEX(採点基準_観点別!$C$3:$C$1000,_xlfn.XMATCH(MID(CELL("filename",$A$1),FIND("]",CELL("filename",$A$1))+1,31)&amp;$F$1,採点基準_観点別!$F$3:$F$1000)),"A",IF(O12&gt;=INDEX(採点基準_観点別!$D$3:$D$1000,_xlfn.XMATCH(MID(CELL("filename",$A$1),FIND("]",CELL("filename",$A$1))+1,31)&amp;$F$1,採点基準_観点別!$F$3:$F$1000)),"B",IF(O12&lt;=INDEX(採点基準_観点別!$E$3:$E$1000,_xlfn.XMATCH(MID(CELL("filename",$A$1),FIND("]",CELL("filename",$A$1))+1,31)&amp;$F$1,採点基準_観点別!$F$3:$F$1000)),"C","採点基準が不正です"))))</f>
        <v/>
      </c>
      <c r="Q12" s="25"/>
      <c r="R12" s="25"/>
      <c r="S12" s="25"/>
      <c r="T12" s="25"/>
      <c r="U12" s="25"/>
      <c r="V12" s="25"/>
      <c r="W12" s="25"/>
      <c r="X12" s="25" t="str">
        <f t="shared" si="2"/>
        <v>未入力</v>
      </c>
      <c r="Y12" s="25" t="str">
        <f t="shared" si="3"/>
        <v/>
      </c>
      <c r="Z12" s="25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  <c r="AA12" s="25"/>
      <c r="AB12" s="25"/>
      <c r="AC12" s="25"/>
      <c r="AD12" s="25"/>
      <c r="AE12" s="25"/>
      <c r="AF12" s="25"/>
      <c r="AG12" s="25"/>
      <c r="AH12" s="25"/>
      <c r="AI12" s="25" t="str">
        <f t="shared" si="4"/>
        <v>未入力</v>
      </c>
      <c r="AJ12" s="25" t="str">
        <f t="shared" si="5"/>
        <v/>
      </c>
      <c r="AK12" s="25" t="str" cm="1">
        <f t="array" aca="1" ref="AK12" ca="1">IF(AJ12 = "","",IF(AJ12&gt;=INDEX(採点基準_観点別!$C$3:$C$1000,_xlfn.XMATCH(MID(CELL("filename",$A$1),FIND("]",CELL("filename",$A$1))+1,31)&amp;$F$1,採点基準_観点別!$F$3:$F$1000)),"A",IF(AJ12&gt;=INDEX(採点基準_観点別!$D$3:$D$1000,_xlfn.XMATCH(MID(CELL("filename",$A$1),FIND("]",CELL("filename",$A$1))+1,31)&amp;$F$1,採点基準_観点別!$F$3:$F$1000)),"B",IF(AJ12&lt;=INDEX(採点基準_観点別!$E$3:$E$1000,_xlfn.XMATCH(MID(CELL("filename",$A$1),FIND("]",CELL("filename",$A$1))+1,31)&amp;$F$1,採点基準_観点別!$F$3:$F$1000)),"C","採点基準が不正です"))))</f>
        <v/>
      </c>
    </row>
    <row r="13" spans="1:37" x14ac:dyDescent="0.4">
      <c r="A13" s="34">
        <v>9</v>
      </c>
      <c r="B13" s="34" t="s">
        <v>90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 t="str">
        <f t="shared" si="0"/>
        <v>未入力</v>
      </c>
      <c r="O13" s="34" t="str">
        <f t="shared" si="1"/>
        <v/>
      </c>
      <c r="P13" s="34" t="str" cm="1">
        <f t="array" aca="1" ref="P13" ca="1">IF(O13 = "","",IF(O13&gt;=INDEX(採点基準_観点別!$C$3:$C$1000,_xlfn.XMATCH(MID(CELL("filename",$A$1),FIND("]",CELL("filename",$A$1))+1,31)&amp;$F$1,採点基準_観点別!$F$3:$F$1000)),"A",IF(O13&gt;=INDEX(採点基準_観点別!$D$3:$D$1000,_xlfn.XMATCH(MID(CELL("filename",$A$1),FIND("]",CELL("filename",$A$1))+1,31)&amp;$F$1,採点基準_観点別!$F$3:$F$1000)),"B",IF(O13&lt;=INDEX(採点基準_観点別!$E$3:$E$1000,_xlfn.XMATCH(MID(CELL("filename",$A$1),FIND("]",CELL("filename",$A$1))+1,31)&amp;$F$1,採点基準_観点別!$F$3:$F$1000)),"C","採点基準が不正です"))))</f>
        <v/>
      </c>
      <c r="Q13" s="34"/>
      <c r="R13" s="34"/>
      <c r="S13" s="34"/>
      <c r="T13" s="34"/>
      <c r="U13" s="34"/>
      <c r="V13" s="34"/>
      <c r="W13" s="34"/>
      <c r="X13" s="34" t="str">
        <f t="shared" si="2"/>
        <v>未入力</v>
      </c>
      <c r="Y13" s="34" t="str">
        <f t="shared" si="3"/>
        <v/>
      </c>
      <c r="Z13" s="34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  <c r="AA13" s="34"/>
      <c r="AB13" s="34"/>
      <c r="AC13" s="34"/>
      <c r="AD13" s="34"/>
      <c r="AE13" s="34"/>
      <c r="AF13" s="34"/>
      <c r="AG13" s="34"/>
      <c r="AH13" s="34"/>
      <c r="AI13" s="34" t="str">
        <f t="shared" si="4"/>
        <v>未入力</v>
      </c>
      <c r="AJ13" s="34" t="str">
        <f t="shared" si="5"/>
        <v/>
      </c>
      <c r="AK13" s="34" t="str" cm="1">
        <f t="array" aca="1" ref="AK13" ca="1">IF(AJ13 = "","",IF(AJ13&gt;=INDEX(採点基準_観点別!$C$3:$C$1000,_xlfn.XMATCH(MID(CELL("filename",$A$1),FIND("]",CELL("filename",$A$1))+1,31)&amp;$F$1,採点基準_観点別!$F$3:$F$1000)),"A",IF(AJ13&gt;=INDEX(採点基準_観点別!$D$3:$D$1000,_xlfn.XMATCH(MID(CELL("filename",$A$1),FIND("]",CELL("filename",$A$1))+1,31)&amp;$F$1,採点基準_観点別!$F$3:$F$1000)),"B",IF(AJ13&lt;=INDEX(採点基準_観点別!$E$3:$E$1000,_xlfn.XMATCH(MID(CELL("filename",$A$1),FIND("]",CELL("filename",$A$1))+1,31)&amp;$F$1,採点基準_観点別!$F$3:$F$1000)),"C","採点基準が不正です"))))</f>
        <v/>
      </c>
    </row>
    <row r="14" spans="1:37" x14ac:dyDescent="0.4">
      <c r="A14" s="57">
        <v>10</v>
      </c>
      <c r="B14" s="57" t="s">
        <v>89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 t="str">
        <f t="shared" si="0"/>
        <v>未入力</v>
      </c>
      <c r="O14" s="25" t="str">
        <f t="shared" si="1"/>
        <v/>
      </c>
      <c r="P14" s="25" t="str" cm="1">
        <f t="array" aca="1" ref="P14" ca="1">IF(O14 = "","",IF(O14&gt;=INDEX(採点基準_観点別!$C$3:$C$1000,_xlfn.XMATCH(MID(CELL("filename",$A$1),FIND("]",CELL("filename",$A$1))+1,31)&amp;$F$1,採点基準_観点別!$F$3:$F$1000)),"A",IF(O14&gt;=INDEX(採点基準_観点別!$D$3:$D$1000,_xlfn.XMATCH(MID(CELL("filename",$A$1),FIND("]",CELL("filename",$A$1))+1,31)&amp;$F$1,採点基準_観点別!$F$3:$F$1000)),"B",IF(O14&lt;=INDEX(採点基準_観点別!$E$3:$E$1000,_xlfn.XMATCH(MID(CELL("filename",$A$1),FIND("]",CELL("filename",$A$1))+1,31)&amp;$F$1,採点基準_観点別!$F$3:$F$1000)),"C","採点基準が不正です"))))</f>
        <v/>
      </c>
      <c r="Q14" s="25"/>
      <c r="R14" s="25"/>
      <c r="S14" s="25"/>
      <c r="T14" s="25"/>
      <c r="U14" s="25"/>
      <c r="V14" s="25"/>
      <c r="W14" s="25"/>
      <c r="X14" s="25" t="str">
        <f t="shared" si="2"/>
        <v>未入力</v>
      </c>
      <c r="Y14" s="25" t="str">
        <f t="shared" si="3"/>
        <v/>
      </c>
      <c r="Z14" s="25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  <c r="AA14" s="25"/>
      <c r="AB14" s="25"/>
      <c r="AC14" s="25"/>
      <c r="AD14" s="25"/>
      <c r="AE14" s="25"/>
      <c r="AF14" s="25"/>
      <c r="AG14" s="25"/>
      <c r="AH14" s="25"/>
      <c r="AI14" s="25" t="str">
        <f t="shared" si="4"/>
        <v>未入力</v>
      </c>
      <c r="AJ14" s="25" t="str">
        <f t="shared" si="5"/>
        <v/>
      </c>
      <c r="AK14" s="25" t="str" cm="1">
        <f t="array" aca="1" ref="AK14" ca="1">IF(AJ14 = "","",IF(AJ14&gt;=INDEX(採点基準_観点別!$C$3:$C$1000,_xlfn.XMATCH(MID(CELL("filename",$A$1),FIND("]",CELL("filename",$A$1))+1,31)&amp;$F$1,採点基準_観点別!$F$3:$F$1000)),"A",IF(AJ14&gt;=INDEX(採点基準_観点別!$D$3:$D$1000,_xlfn.XMATCH(MID(CELL("filename",$A$1),FIND("]",CELL("filename",$A$1))+1,31)&amp;$F$1,採点基準_観点別!$F$3:$F$1000)),"B",IF(AJ14&lt;=INDEX(採点基準_観点別!$E$3:$E$1000,_xlfn.XMATCH(MID(CELL("filename",$A$1),FIND("]",CELL("filename",$A$1))+1,31)&amp;$F$1,採点基準_観点別!$F$3:$F$1000)),"C","採点基準が不正です"))))</f>
        <v/>
      </c>
    </row>
    <row r="15" spans="1:37" x14ac:dyDescent="0.4">
      <c r="A15" s="34">
        <v>11</v>
      </c>
      <c r="B15" s="34" t="s">
        <v>90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 t="str">
        <f t="shared" si="0"/>
        <v>未入力</v>
      </c>
      <c r="O15" s="34" t="str">
        <f t="shared" si="1"/>
        <v/>
      </c>
      <c r="P15" s="34" t="str" cm="1">
        <f t="array" aca="1" ref="P15" ca="1">IF(O15 = "","",IF(O15&gt;=INDEX(採点基準_観点別!$C$3:$C$1000,_xlfn.XMATCH(MID(CELL("filename",$A$1),FIND("]",CELL("filename",$A$1))+1,31)&amp;$F$1,採点基準_観点別!$F$3:$F$1000)),"A",IF(O15&gt;=INDEX(採点基準_観点別!$D$3:$D$1000,_xlfn.XMATCH(MID(CELL("filename",$A$1),FIND("]",CELL("filename",$A$1))+1,31)&amp;$F$1,採点基準_観点別!$F$3:$F$1000)),"B",IF(O15&lt;=INDEX(採点基準_観点別!$E$3:$E$1000,_xlfn.XMATCH(MID(CELL("filename",$A$1),FIND("]",CELL("filename",$A$1))+1,31)&amp;$F$1,採点基準_観点別!$F$3:$F$1000)),"C","採点基準が不正です"))))</f>
        <v/>
      </c>
      <c r="Q15" s="34"/>
      <c r="R15" s="34"/>
      <c r="S15" s="34"/>
      <c r="T15" s="34"/>
      <c r="U15" s="34"/>
      <c r="V15" s="34"/>
      <c r="W15" s="34"/>
      <c r="X15" s="34" t="str">
        <f t="shared" si="2"/>
        <v>未入力</v>
      </c>
      <c r="Y15" s="34" t="str">
        <f t="shared" si="3"/>
        <v/>
      </c>
      <c r="Z15" s="34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  <c r="AA15" s="34"/>
      <c r="AB15" s="34"/>
      <c r="AC15" s="34"/>
      <c r="AD15" s="34"/>
      <c r="AE15" s="34"/>
      <c r="AF15" s="34"/>
      <c r="AG15" s="34"/>
      <c r="AH15" s="34"/>
      <c r="AI15" s="34" t="str">
        <f t="shared" si="4"/>
        <v>未入力</v>
      </c>
      <c r="AJ15" s="34" t="str">
        <f t="shared" si="5"/>
        <v/>
      </c>
      <c r="AK15" s="34" t="str" cm="1">
        <f t="array" aca="1" ref="AK15" ca="1">IF(AJ15 = "","",IF(AJ15&gt;=INDEX(採点基準_観点別!$C$3:$C$1000,_xlfn.XMATCH(MID(CELL("filename",$A$1),FIND("]",CELL("filename",$A$1))+1,31)&amp;$F$1,採点基準_観点別!$F$3:$F$1000)),"A",IF(AJ15&gt;=INDEX(採点基準_観点別!$D$3:$D$1000,_xlfn.XMATCH(MID(CELL("filename",$A$1),FIND("]",CELL("filename",$A$1))+1,31)&amp;$F$1,採点基準_観点別!$F$3:$F$1000)),"B",IF(AJ15&lt;=INDEX(採点基準_観点別!$E$3:$E$1000,_xlfn.XMATCH(MID(CELL("filename",$A$1),FIND("]",CELL("filename",$A$1))+1,31)&amp;$F$1,採点基準_観点別!$F$3:$F$1000)),"C","採点基準が不正です"))))</f>
        <v/>
      </c>
    </row>
    <row r="16" spans="1:37" x14ac:dyDescent="0.4">
      <c r="A16" s="57">
        <v>12</v>
      </c>
      <c r="B16" s="57" t="s">
        <v>90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 t="str">
        <f t="shared" si="0"/>
        <v>未入力</v>
      </c>
      <c r="O16" s="25" t="str">
        <f t="shared" si="1"/>
        <v/>
      </c>
      <c r="P16" s="25" t="str" cm="1">
        <f t="array" aca="1" ref="P16" ca="1">IF(O16 = "","",IF(O16&gt;=INDEX(採点基準_観点別!$C$3:$C$1000,_xlfn.XMATCH(MID(CELL("filename",$A$1),FIND("]",CELL("filename",$A$1))+1,31)&amp;$F$1,採点基準_観点別!$F$3:$F$1000)),"A",IF(O16&gt;=INDEX(採点基準_観点別!$D$3:$D$1000,_xlfn.XMATCH(MID(CELL("filename",$A$1),FIND("]",CELL("filename",$A$1))+1,31)&amp;$F$1,採点基準_観点別!$F$3:$F$1000)),"B",IF(O16&lt;=INDEX(採点基準_観点別!$E$3:$E$1000,_xlfn.XMATCH(MID(CELL("filename",$A$1),FIND("]",CELL("filename",$A$1))+1,31)&amp;$F$1,採点基準_観点別!$F$3:$F$1000)),"C","採点基準が不正です"))))</f>
        <v/>
      </c>
      <c r="Q16" s="25"/>
      <c r="R16" s="25"/>
      <c r="S16" s="25"/>
      <c r="T16" s="25"/>
      <c r="U16" s="25"/>
      <c r="V16" s="25"/>
      <c r="W16" s="25"/>
      <c r="X16" s="25" t="str">
        <f t="shared" si="2"/>
        <v>未入力</v>
      </c>
      <c r="Y16" s="25" t="str">
        <f t="shared" si="3"/>
        <v/>
      </c>
      <c r="Z16" s="25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  <c r="AA16" s="25"/>
      <c r="AB16" s="25"/>
      <c r="AC16" s="25"/>
      <c r="AD16" s="25"/>
      <c r="AE16" s="25"/>
      <c r="AF16" s="25"/>
      <c r="AG16" s="25"/>
      <c r="AH16" s="25"/>
      <c r="AI16" s="25" t="str">
        <f t="shared" si="4"/>
        <v>未入力</v>
      </c>
      <c r="AJ16" s="25" t="str">
        <f t="shared" si="5"/>
        <v/>
      </c>
      <c r="AK16" s="25" t="str" cm="1">
        <f t="array" aca="1" ref="AK16" ca="1">IF(AJ16 = "","",IF(AJ16&gt;=INDEX(採点基準_観点別!$C$3:$C$1000,_xlfn.XMATCH(MID(CELL("filename",$A$1),FIND("]",CELL("filename",$A$1))+1,31)&amp;$F$1,採点基準_観点別!$F$3:$F$1000)),"A",IF(AJ16&gt;=INDEX(採点基準_観点別!$D$3:$D$1000,_xlfn.XMATCH(MID(CELL("filename",$A$1),FIND("]",CELL("filename",$A$1))+1,31)&amp;$F$1,採点基準_観点別!$F$3:$F$1000)),"B",IF(AJ16&lt;=INDEX(採点基準_観点別!$E$3:$E$1000,_xlfn.XMATCH(MID(CELL("filename",$A$1),FIND("]",CELL("filename",$A$1))+1,31)&amp;$F$1,採点基準_観点別!$F$3:$F$1000)),"C","採点基準が不正です"))))</f>
        <v/>
      </c>
    </row>
    <row r="17" spans="1:37" x14ac:dyDescent="0.4">
      <c r="A17" s="34">
        <v>13</v>
      </c>
      <c r="B17" s="34" t="s">
        <v>89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 t="str">
        <f t="shared" si="0"/>
        <v>未入力</v>
      </c>
      <c r="O17" s="34" t="str">
        <f t="shared" si="1"/>
        <v/>
      </c>
      <c r="P17" s="34" t="str" cm="1">
        <f t="array" aca="1" ref="P17" ca="1">IF(O17 = "","",IF(O17&gt;=INDEX(採点基準_観点別!$C$3:$C$1000,_xlfn.XMATCH(MID(CELL("filename",$A$1),FIND("]",CELL("filename",$A$1))+1,31)&amp;$F$1,採点基準_観点別!$F$3:$F$1000)),"A",IF(O17&gt;=INDEX(採点基準_観点別!$D$3:$D$1000,_xlfn.XMATCH(MID(CELL("filename",$A$1),FIND("]",CELL("filename",$A$1))+1,31)&amp;$F$1,採点基準_観点別!$F$3:$F$1000)),"B",IF(O17&lt;=INDEX(採点基準_観点別!$E$3:$E$1000,_xlfn.XMATCH(MID(CELL("filename",$A$1),FIND("]",CELL("filename",$A$1))+1,31)&amp;$F$1,採点基準_観点別!$F$3:$F$1000)),"C","採点基準が不正です"))))</f>
        <v/>
      </c>
      <c r="Q17" s="34"/>
      <c r="R17" s="34"/>
      <c r="S17" s="34"/>
      <c r="T17" s="34"/>
      <c r="U17" s="34"/>
      <c r="V17" s="34"/>
      <c r="W17" s="34"/>
      <c r="X17" s="34" t="str">
        <f t="shared" si="2"/>
        <v>未入力</v>
      </c>
      <c r="Y17" s="34" t="str">
        <f t="shared" si="3"/>
        <v/>
      </c>
      <c r="Z17" s="34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  <c r="AA17" s="34"/>
      <c r="AB17" s="34"/>
      <c r="AC17" s="34"/>
      <c r="AD17" s="34"/>
      <c r="AE17" s="34"/>
      <c r="AF17" s="34"/>
      <c r="AG17" s="34"/>
      <c r="AH17" s="34"/>
      <c r="AI17" s="34" t="str">
        <f t="shared" si="4"/>
        <v>未入力</v>
      </c>
      <c r="AJ17" s="34" t="str">
        <f t="shared" si="5"/>
        <v/>
      </c>
      <c r="AK17" s="34" t="str" cm="1">
        <f t="array" aca="1" ref="AK17" ca="1">IF(AJ17 = "","",IF(AJ17&gt;=INDEX(採点基準_観点別!$C$3:$C$1000,_xlfn.XMATCH(MID(CELL("filename",$A$1),FIND("]",CELL("filename",$A$1))+1,31)&amp;$F$1,採点基準_観点別!$F$3:$F$1000)),"A",IF(AJ17&gt;=INDEX(採点基準_観点別!$D$3:$D$1000,_xlfn.XMATCH(MID(CELL("filename",$A$1),FIND("]",CELL("filename",$A$1))+1,31)&amp;$F$1,採点基準_観点別!$F$3:$F$1000)),"B",IF(AJ17&lt;=INDEX(採点基準_観点別!$E$3:$E$1000,_xlfn.XMATCH(MID(CELL("filename",$A$1),FIND("]",CELL("filename",$A$1))+1,31)&amp;$F$1,採点基準_観点別!$F$3:$F$1000)),"C","採点基準が不正です"))))</f>
        <v/>
      </c>
    </row>
    <row r="18" spans="1:37" x14ac:dyDescent="0.4">
      <c r="A18" s="57">
        <v>14</v>
      </c>
      <c r="B18" s="57" t="s">
        <v>90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 t="str">
        <f t="shared" si="0"/>
        <v>未入力</v>
      </c>
      <c r="O18" s="25" t="str">
        <f t="shared" si="1"/>
        <v/>
      </c>
      <c r="P18" s="25" t="str" cm="1">
        <f t="array" aca="1" ref="P18" ca="1">IF(O18 = "","",IF(O18&gt;=INDEX(採点基準_観点別!$C$3:$C$1000,_xlfn.XMATCH(MID(CELL("filename",$A$1),FIND("]",CELL("filename",$A$1))+1,31)&amp;$F$1,採点基準_観点別!$F$3:$F$1000)),"A",IF(O18&gt;=INDEX(採点基準_観点別!$D$3:$D$1000,_xlfn.XMATCH(MID(CELL("filename",$A$1),FIND("]",CELL("filename",$A$1))+1,31)&amp;$F$1,採点基準_観点別!$F$3:$F$1000)),"B",IF(O18&lt;=INDEX(採点基準_観点別!$E$3:$E$1000,_xlfn.XMATCH(MID(CELL("filename",$A$1),FIND("]",CELL("filename",$A$1))+1,31)&amp;$F$1,採点基準_観点別!$F$3:$F$1000)),"C","採点基準が不正です"))))</f>
        <v/>
      </c>
      <c r="Q18" s="25"/>
      <c r="R18" s="25"/>
      <c r="S18" s="25"/>
      <c r="T18" s="25"/>
      <c r="U18" s="25"/>
      <c r="V18" s="25"/>
      <c r="W18" s="25"/>
      <c r="X18" s="25" t="str">
        <f t="shared" si="2"/>
        <v>未入力</v>
      </c>
      <c r="Y18" s="25" t="str">
        <f t="shared" si="3"/>
        <v/>
      </c>
      <c r="Z18" s="25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  <c r="AA18" s="25"/>
      <c r="AB18" s="25"/>
      <c r="AC18" s="25"/>
      <c r="AD18" s="25"/>
      <c r="AE18" s="25"/>
      <c r="AF18" s="25"/>
      <c r="AG18" s="25"/>
      <c r="AH18" s="25"/>
      <c r="AI18" s="25" t="str">
        <f t="shared" si="4"/>
        <v>未入力</v>
      </c>
      <c r="AJ18" s="25" t="str">
        <f t="shared" si="5"/>
        <v/>
      </c>
      <c r="AK18" s="25" t="str" cm="1">
        <f t="array" aca="1" ref="AK18" ca="1">IF(AJ18 = "","",IF(AJ18&gt;=INDEX(採点基準_観点別!$C$3:$C$1000,_xlfn.XMATCH(MID(CELL("filename",$A$1),FIND("]",CELL("filename",$A$1))+1,31)&amp;$F$1,採点基準_観点別!$F$3:$F$1000)),"A",IF(AJ18&gt;=INDEX(採点基準_観点別!$D$3:$D$1000,_xlfn.XMATCH(MID(CELL("filename",$A$1),FIND("]",CELL("filename",$A$1))+1,31)&amp;$F$1,採点基準_観点別!$F$3:$F$1000)),"B",IF(AJ18&lt;=INDEX(採点基準_観点別!$E$3:$E$1000,_xlfn.XMATCH(MID(CELL("filename",$A$1),FIND("]",CELL("filename",$A$1))+1,31)&amp;$F$1,採点基準_観点別!$F$3:$F$1000)),"C","採点基準が不正です"))))</f>
        <v/>
      </c>
    </row>
    <row r="19" spans="1:37" x14ac:dyDescent="0.4">
      <c r="A19" s="34">
        <v>15</v>
      </c>
      <c r="B19" s="34" t="s">
        <v>89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 t="str">
        <f t="shared" si="0"/>
        <v>未入力</v>
      </c>
      <c r="O19" s="34" t="str">
        <f t="shared" si="1"/>
        <v/>
      </c>
      <c r="P19" s="34" t="str" cm="1">
        <f t="array" aca="1" ref="P19" ca="1">IF(O19 = "","",IF(O19&gt;=INDEX(採点基準_観点別!$C$3:$C$1000,_xlfn.XMATCH(MID(CELL("filename",$A$1),FIND("]",CELL("filename",$A$1))+1,31)&amp;$F$1,採点基準_観点別!$F$3:$F$1000)),"A",IF(O19&gt;=INDEX(採点基準_観点別!$D$3:$D$1000,_xlfn.XMATCH(MID(CELL("filename",$A$1),FIND("]",CELL("filename",$A$1))+1,31)&amp;$F$1,採点基準_観点別!$F$3:$F$1000)),"B",IF(O19&lt;=INDEX(採点基準_観点別!$E$3:$E$1000,_xlfn.XMATCH(MID(CELL("filename",$A$1),FIND("]",CELL("filename",$A$1))+1,31)&amp;$F$1,採点基準_観点別!$F$3:$F$1000)),"C","採点基準が不正です"))))</f>
        <v/>
      </c>
      <c r="Q19" s="34"/>
      <c r="R19" s="34"/>
      <c r="S19" s="34"/>
      <c r="T19" s="34"/>
      <c r="U19" s="34"/>
      <c r="V19" s="34"/>
      <c r="W19" s="34"/>
      <c r="X19" s="34" t="str">
        <f t="shared" si="2"/>
        <v>未入力</v>
      </c>
      <c r="Y19" s="34" t="str">
        <f t="shared" si="3"/>
        <v/>
      </c>
      <c r="Z19" s="34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  <c r="AA19" s="34"/>
      <c r="AB19" s="34"/>
      <c r="AC19" s="34"/>
      <c r="AD19" s="34"/>
      <c r="AE19" s="34"/>
      <c r="AF19" s="34"/>
      <c r="AG19" s="34"/>
      <c r="AH19" s="34"/>
      <c r="AI19" s="34" t="str">
        <f t="shared" si="4"/>
        <v>未入力</v>
      </c>
      <c r="AJ19" s="34" t="str">
        <f t="shared" si="5"/>
        <v/>
      </c>
      <c r="AK19" s="34" t="str" cm="1">
        <f t="array" aca="1" ref="AK19" ca="1">IF(AJ19 = "","",IF(AJ19&gt;=INDEX(採点基準_観点別!$C$3:$C$1000,_xlfn.XMATCH(MID(CELL("filename",$A$1),FIND("]",CELL("filename",$A$1))+1,31)&amp;$F$1,採点基準_観点別!$F$3:$F$1000)),"A",IF(AJ19&gt;=INDEX(採点基準_観点別!$D$3:$D$1000,_xlfn.XMATCH(MID(CELL("filename",$A$1),FIND("]",CELL("filename",$A$1))+1,31)&amp;$F$1,採点基準_観点別!$F$3:$F$1000)),"B",IF(AJ19&lt;=INDEX(採点基準_観点別!$E$3:$E$1000,_xlfn.XMATCH(MID(CELL("filename",$A$1),FIND("]",CELL("filename",$A$1))+1,31)&amp;$F$1,採点基準_観点別!$F$3:$F$1000)),"C","採点基準が不正です"))))</f>
        <v/>
      </c>
    </row>
    <row r="20" spans="1:37" x14ac:dyDescent="0.4">
      <c r="A20" s="57">
        <v>16</v>
      </c>
      <c r="B20" s="57" t="s">
        <v>90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 t="str">
        <f t="shared" si="0"/>
        <v>未入力</v>
      </c>
      <c r="O20" s="25" t="str">
        <f t="shared" si="1"/>
        <v/>
      </c>
      <c r="P20" s="25" t="str" cm="1">
        <f t="array" aca="1" ref="P20" ca="1">IF(O20 = "","",IF(O20&gt;=INDEX(採点基準_観点別!$C$3:$C$1000,_xlfn.XMATCH(MID(CELL("filename",$A$1),FIND("]",CELL("filename",$A$1))+1,31)&amp;$F$1,採点基準_観点別!$F$3:$F$1000)),"A",IF(O20&gt;=INDEX(採点基準_観点別!$D$3:$D$1000,_xlfn.XMATCH(MID(CELL("filename",$A$1),FIND("]",CELL("filename",$A$1))+1,31)&amp;$F$1,採点基準_観点別!$F$3:$F$1000)),"B",IF(O20&lt;=INDEX(採点基準_観点別!$E$3:$E$1000,_xlfn.XMATCH(MID(CELL("filename",$A$1),FIND("]",CELL("filename",$A$1))+1,31)&amp;$F$1,採点基準_観点別!$F$3:$F$1000)),"C","採点基準が不正です"))))</f>
        <v/>
      </c>
      <c r="Q20" s="25"/>
      <c r="R20" s="25"/>
      <c r="S20" s="25"/>
      <c r="T20" s="25"/>
      <c r="U20" s="25"/>
      <c r="V20" s="25"/>
      <c r="W20" s="25"/>
      <c r="X20" s="25" t="str">
        <f t="shared" si="2"/>
        <v>未入力</v>
      </c>
      <c r="Y20" s="25" t="str">
        <f t="shared" si="3"/>
        <v/>
      </c>
      <c r="Z20" s="25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  <c r="AA20" s="25"/>
      <c r="AB20" s="25"/>
      <c r="AC20" s="25"/>
      <c r="AD20" s="25"/>
      <c r="AE20" s="25"/>
      <c r="AF20" s="25"/>
      <c r="AG20" s="25"/>
      <c r="AH20" s="25"/>
      <c r="AI20" s="25" t="str">
        <f t="shared" si="4"/>
        <v>未入力</v>
      </c>
      <c r="AJ20" s="25" t="str">
        <f t="shared" si="5"/>
        <v/>
      </c>
      <c r="AK20" s="25" t="str" cm="1">
        <f t="array" aca="1" ref="AK20" ca="1">IF(AJ20 = "","",IF(AJ20&gt;=INDEX(採点基準_観点別!$C$3:$C$1000,_xlfn.XMATCH(MID(CELL("filename",$A$1),FIND("]",CELL("filename",$A$1))+1,31)&amp;$F$1,採点基準_観点別!$F$3:$F$1000)),"A",IF(AJ20&gt;=INDEX(採点基準_観点別!$D$3:$D$1000,_xlfn.XMATCH(MID(CELL("filename",$A$1),FIND("]",CELL("filename",$A$1))+1,31)&amp;$F$1,採点基準_観点別!$F$3:$F$1000)),"B",IF(AJ20&lt;=INDEX(採点基準_観点別!$E$3:$E$1000,_xlfn.XMATCH(MID(CELL("filename",$A$1),FIND("]",CELL("filename",$A$1))+1,31)&amp;$F$1,採点基準_観点別!$F$3:$F$1000)),"C","採点基準が不正です"))))</f>
        <v/>
      </c>
    </row>
    <row r="21" spans="1:37" x14ac:dyDescent="0.4">
      <c r="A21" s="34">
        <v>17</v>
      </c>
      <c r="B21" s="34" t="s">
        <v>90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 t="str">
        <f t="shared" si="0"/>
        <v>未入力</v>
      </c>
      <c r="O21" s="34" t="str">
        <f t="shared" si="1"/>
        <v/>
      </c>
      <c r="P21" s="34" t="str" cm="1">
        <f t="array" aca="1" ref="P21" ca="1">IF(O21 = "","",IF(O21&gt;=INDEX(採点基準_観点別!$C$3:$C$1000,_xlfn.XMATCH(MID(CELL("filename",$A$1),FIND("]",CELL("filename",$A$1))+1,31)&amp;$F$1,採点基準_観点別!$F$3:$F$1000)),"A",IF(O21&gt;=INDEX(採点基準_観点別!$D$3:$D$1000,_xlfn.XMATCH(MID(CELL("filename",$A$1),FIND("]",CELL("filename",$A$1))+1,31)&amp;$F$1,採点基準_観点別!$F$3:$F$1000)),"B",IF(O21&lt;=INDEX(採点基準_観点別!$E$3:$E$1000,_xlfn.XMATCH(MID(CELL("filename",$A$1),FIND("]",CELL("filename",$A$1))+1,31)&amp;$F$1,採点基準_観点別!$F$3:$F$1000)),"C","採点基準が不正です"))))</f>
        <v/>
      </c>
      <c r="Q21" s="34"/>
      <c r="R21" s="34"/>
      <c r="S21" s="34"/>
      <c r="T21" s="34"/>
      <c r="U21" s="34"/>
      <c r="V21" s="34"/>
      <c r="W21" s="34"/>
      <c r="X21" s="34" t="str">
        <f t="shared" si="2"/>
        <v>未入力</v>
      </c>
      <c r="Y21" s="34" t="str">
        <f t="shared" si="3"/>
        <v/>
      </c>
      <c r="Z21" s="34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  <c r="AA21" s="34"/>
      <c r="AB21" s="34"/>
      <c r="AC21" s="34"/>
      <c r="AD21" s="34"/>
      <c r="AE21" s="34"/>
      <c r="AF21" s="34"/>
      <c r="AG21" s="34"/>
      <c r="AH21" s="34"/>
      <c r="AI21" s="34" t="str">
        <f t="shared" si="4"/>
        <v>未入力</v>
      </c>
      <c r="AJ21" s="34" t="str">
        <f t="shared" si="5"/>
        <v/>
      </c>
      <c r="AK21" s="34" t="str" cm="1">
        <f t="array" aca="1" ref="AK21" ca="1">IF(AJ21 = "","",IF(AJ21&gt;=INDEX(採点基準_観点別!$C$3:$C$1000,_xlfn.XMATCH(MID(CELL("filename",$A$1),FIND("]",CELL("filename",$A$1))+1,31)&amp;$F$1,採点基準_観点別!$F$3:$F$1000)),"A",IF(AJ21&gt;=INDEX(採点基準_観点別!$D$3:$D$1000,_xlfn.XMATCH(MID(CELL("filename",$A$1),FIND("]",CELL("filename",$A$1))+1,31)&amp;$F$1,採点基準_観点別!$F$3:$F$1000)),"B",IF(AJ21&lt;=INDEX(採点基準_観点別!$E$3:$E$1000,_xlfn.XMATCH(MID(CELL("filename",$A$1),FIND("]",CELL("filename",$A$1))+1,31)&amp;$F$1,採点基準_観点別!$F$3:$F$1000)),"C","採点基準が不正です"))))</f>
        <v/>
      </c>
    </row>
    <row r="22" spans="1:37" x14ac:dyDescent="0.4">
      <c r="A22" s="57">
        <v>18</v>
      </c>
      <c r="B22" s="57" t="s">
        <v>89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 t="str">
        <f t="shared" si="0"/>
        <v>未入力</v>
      </c>
      <c r="O22" s="25" t="str">
        <f t="shared" si="1"/>
        <v/>
      </c>
      <c r="P22" s="25" t="str" cm="1">
        <f t="array" aca="1" ref="P22" ca="1">IF(O22 = "","",IF(O22&gt;=INDEX(採点基準_観点別!$C$3:$C$1000,_xlfn.XMATCH(MID(CELL("filename",$A$1),FIND("]",CELL("filename",$A$1))+1,31)&amp;$F$1,採点基準_観点別!$F$3:$F$1000)),"A",IF(O22&gt;=INDEX(採点基準_観点別!$D$3:$D$1000,_xlfn.XMATCH(MID(CELL("filename",$A$1),FIND("]",CELL("filename",$A$1))+1,31)&amp;$F$1,採点基準_観点別!$F$3:$F$1000)),"B",IF(O22&lt;=INDEX(採点基準_観点別!$E$3:$E$1000,_xlfn.XMATCH(MID(CELL("filename",$A$1),FIND("]",CELL("filename",$A$1))+1,31)&amp;$F$1,採点基準_観点別!$F$3:$F$1000)),"C","採点基準が不正です"))))</f>
        <v/>
      </c>
      <c r="Q22" s="25"/>
      <c r="R22" s="25"/>
      <c r="S22" s="25"/>
      <c r="T22" s="25"/>
      <c r="U22" s="25"/>
      <c r="V22" s="25"/>
      <c r="W22" s="25"/>
      <c r="X22" s="25" t="str">
        <f t="shared" si="2"/>
        <v>未入力</v>
      </c>
      <c r="Y22" s="25" t="str">
        <f t="shared" si="3"/>
        <v/>
      </c>
      <c r="Z22" s="25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  <c r="AA22" s="25"/>
      <c r="AB22" s="25"/>
      <c r="AC22" s="25"/>
      <c r="AD22" s="25"/>
      <c r="AE22" s="25"/>
      <c r="AF22" s="25"/>
      <c r="AG22" s="25"/>
      <c r="AH22" s="25"/>
      <c r="AI22" s="25" t="str">
        <f t="shared" si="4"/>
        <v>未入力</v>
      </c>
      <c r="AJ22" s="25" t="str">
        <f t="shared" si="5"/>
        <v/>
      </c>
      <c r="AK22" s="25" t="str" cm="1">
        <f t="array" aca="1" ref="AK22" ca="1">IF(AJ22 = "","",IF(AJ22&gt;=INDEX(採点基準_観点別!$C$3:$C$1000,_xlfn.XMATCH(MID(CELL("filename",$A$1),FIND("]",CELL("filename",$A$1))+1,31)&amp;$F$1,採点基準_観点別!$F$3:$F$1000)),"A",IF(AJ22&gt;=INDEX(採点基準_観点別!$D$3:$D$1000,_xlfn.XMATCH(MID(CELL("filename",$A$1),FIND("]",CELL("filename",$A$1))+1,31)&amp;$F$1,採点基準_観点別!$F$3:$F$1000)),"B",IF(AJ22&lt;=INDEX(採点基準_観点別!$E$3:$E$1000,_xlfn.XMATCH(MID(CELL("filename",$A$1),FIND("]",CELL("filename",$A$1))+1,31)&amp;$F$1,採点基準_観点別!$F$3:$F$1000)),"C","採点基準が不正です"))))</f>
        <v/>
      </c>
    </row>
    <row r="23" spans="1:37" x14ac:dyDescent="0.4">
      <c r="A23" s="34">
        <v>19</v>
      </c>
      <c r="B23" s="34" t="s">
        <v>90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 t="str">
        <f t="shared" si="0"/>
        <v>未入力</v>
      </c>
      <c r="O23" s="34" t="str">
        <f t="shared" si="1"/>
        <v/>
      </c>
      <c r="P23" s="34" t="str" cm="1">
        <f t="array" aca="1" ref="P23" ca="1">IF(O23 = "","",IF(O23&gt;=INDEX(採点基準_観点別!$C$3:$C$1000,_xlfn.XMATCH(MID(CELL("filename",$A$1),FIND("]",CELL("filename",$A$1))+1,31)&amp;$F$1,採点基準_観点別!$F$3:$F$1000)),"A",IF(O23&gt;=INDEX(採点基準_観点別!$D$3:$D$1000,_xlfn.XMATCH(MID(CELL("filename",$A$1),FIND("]",CELL("filename",$A$1))+1,31)&amp;$F$1,採点基準_観点別!$F$3:$F$1000)),"B",IF(O23&lt;=INDEX(採点基準_観点別!$E$3:$E$1000,_xlfn.XMATCH(MID(CELL("filename",$A$1),FIND("]",CELL("filename",$A$1))+1,31)&amp;$F$1,採点基準_観点別!$F$3:$F$1000)),"C","採点基準が不正です"))))</f>
        <v/>
      </c>
      <c r="Q23" s="34"/>
      <c r="R23" s="34"/>
      <c r="S23" s="34"/>
      <c r="T23" s="34"/>
      <c r="U23" s="34"/>
      <c r="V23" s="34"/>
      <c r="W23" s="34"/>
      <c r="X23" s="34" t="str">
        <f t="shared" si="2"/>
        <v>未入力</v>
      </c>
      <c r="Y23" s="34" t="str">
        <f t="shared" si="3"/>
        <v/>
      </c>
      <c r="Z23" s="34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  <c r="AA23" s="34"/>
      <c r="AB23" s="34"/>
      <c r="AC23" s="34"/>
      <c r="AD23" s="34"/>
      <c r="AE23" s="34"/>
      <c r="AF23" s="34"/>
      <c r="AG23" s="34"/>
      <c r="AH23" s="34"/>
      <c r="AI23" s="34" t="str">
        <f t="shared" si="4"/>
        <v>未入力</v>
      </c>
      <c r="AJ23" s="34" t="str">
        <f t="shared" si="5"/>
        <v/>
      </c>
      <c r="AK23" s="34" t="str" cm="1">
        <f t="array" aca="1" ref="AK23" ca="1">IF(AJ23 = "","",IF(AJ23&gt;=INDEX(採点基準_観点別!$C$3:$C$1000,_xlfn.XMATCH(MID(CELL("filename",$A$1),FIND("]",CELL("filename",$A$1))+1,31)&amp;$F$1,採点基準_観点別!$F$3:$F$1000)),"A",IF(AJ23&gt;=INDEX(採点基準_観点別!$D$3:$D$1000,_xlfn.XMATCH(MID(CELL("filename",$A$1),FIND("]",CELL("filename",$A$1))+1,31)&amp;$F$1,採点基準_観点別!$F$3:$F$1000)),"B",IF(AJ23&lt;=INDEX(採点基準_観点別!$E$3:$E$1000,_xlfn.XMATCH(MID(CELL("filename",$A$1),FIND("]",CELL("filename",$A$1))+1,31)&amp;$F$1,採点基準_観点別!$F$3:$F$1000)),"C","採点基準が不正です"))))</f>
        <v/>
      </c>
    </row>
    <row r="24" spans="1:37" x14ac:dyDescent="0.4">
      <c r="A24" s="57">
        <v>20</v>
      </c>
      <c r="B24" s="57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 t="str">
        <f t="shared" si="0"/>
        <v>未入力</v>
      </c>
      <c r="O24" s="25" t="str">
        <f t="shared" si="1"/>
        <v/>
      </c>
      <c r="P24" s="25" t="str" cm="1">
        <f t="array" aca="1" ref="P24" ca="1">IF(O24 = "","",IF(O24&gt;=INDEX(採点基準_観点別!$C$3:$C$1000,_xlfn.XMATCH(MID(CELL("filename",$A$1),FIND("]",CELL("filename",$A$1))+1,31)&amp;$F$1,採点基準_観点別!$F$3:$F$1000)),"A",IF(O24&gt;=INDEX(採点基準_観点別!$D$3:$D$1000,_xlfn.XMATCH(MID(CELL("filename",$A$1),FIND("]",CELL("filename",$A$1))+1,31)&amp;$F$1,採点基準_観点別!$F$3:$F$1000)),"B",IF(O24&lt;=INDEX(採点基準_観点別!$E$3:$E$1000,_xlfn.XMATCH(MID(CELL("filename",$A$1),FIND("]",CELL("filename",$A$1))+1,31)&amp;$F$1,採点基準_観点別!$F$3:$F$1000)),"C","採点基準が不正です"))))</f>
        <v/>
      </c>
      <c r="Q24" s="25"/>
      <c r="R24" s="25"/>
      <c r="S24" s="25"/>
      <c r="T24" s="25"/>
      <c r="U24" s="25"/>
      <c r="V24" s="25"/>
      <c r="W24" s="25"/>
      <c r="X24" s="25" t="str">
        <f t="shared" si="2"/>
        <v>未入力</v>
      </c>
      <c r="Y24" s="25" t="str">
        <f t="shared" si="3"/>
        <v/>
      </c>
      <c r="Z24" s="25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  <c r="AA24" s="25"/>
      <c r="AB24" s="25"/>
      <c r="AC24" s="25"/>
      <c r="AD24" s="25"/>
      <c r="AE24" s="25"/>
      <c r="AF24" s="25"/>
      <c r="AG24" s="25"/>
      <c r="AH24" s="25"/>
      <c r="AI24" s="25" t="str">
        <f t="shared" si="4"/>
        <v>未入力</v>
      </c>
      <c r="AJ24" s="25" t="str">
        <f t="shared" si="5"/>
        <v/>
      </c>
      <c r="AK24" s="25" t="str" cm="1">
        <f t="array" aca="1" ref="AK24" ca="1">IF(AJ24 = "","",IF(AJ24&gt;=INDEX(採点基準_観点別!$C$3:$C$1000,_xlfn.XMATCH(MID(CELL("filename",$A$1),FIND("]",CELL("filename",$A$1))+1,31)&amp;$F$1,採点基準_観点別!$F$3:$F$1000)),"A",IF(AJ24&gt;=INDEX(採点基準_観点別!$D$3:$D$1000,_xlfn.XMATCH(MID(CELL("filename",$A$1),FIND("]",CELL("filename",$A$1))+1,31)&amp;$F$1,採点基準_観点別!$F$3:$F$1000)),"B",IF(AJ24&lt;=INDEX(採点基準_観点別!$E$3:$E$1000,_xlfn.XMATCH(MID(CELL("filename",$A$1),FIND("]",CELL("filename",$A$1))+1,31)&amp;$F$1,採点基準_観点別!$F$3:$F$1000)),"C","採点基準が不正です"))))</f>
        <v/>
      </c>
    </row>
    <row r="25" spans="1:37" x14ac:dyDescent="0.4">
      <c r="A25" s="64"/>
      <c r="B25" s="63" t="s">
        <v>90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使い方</vt:lpstr>
      <vt:lpstr>生徒氏名設定</vt:lpstr>
      <vt:lpstr>評価項目設定</vt:lpstr>
      <vt:lpstr>その他設定</vt:lpstr>
      <vt:lpstr>設定 (2)</vt:lpstr>
      <vt:lpstr>採点基準_観点別</vt:lpstr>
      <vt:lpstr>採点基準_単元別</vt:lpstr>
      <vt:lpstr>理科</vt:lpstr>
      <vt:lpstr>国語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2023-03-19T03:08:51Z</dcterms:modified>
</cp:coreProperties>
</file>