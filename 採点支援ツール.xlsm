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69511487-ACD8-462B-A104-9319A13D1359}" xr6:coauthVersionLast="47" xr6:coauthVersionMax="47" xr10:uidLastSave="{00000000-0000-0000-0000-000000000000}"/>
  <bookViews>
    <workbookView xWindow="-120" yWindow="-120" windowWidth="29040" windowHeight="15720" tabRatio="564" activeTab="12" xr2:uid="{A21CF5A8-1970-4B84-8123-57BC29D37732}"/>
  </bookViews>
  <sheets>
    <sheet name="評価項目設定" sheetId="92" r:id="rId1"/>
    <sheet name="生徒氏名設定" sheetId="93" r:id="rId2"/>
    <sheet name="その他設定" sheetId="1" r:id="rId3"/>
    <sheet name="設定 (2)" sheetId="30" state="hidden" r:id="rId4"/>
    <sheet name="DeveloperMemo" sheetId="91" state="hidden" r:id="rId5"/>
    <sheet name="生徒氏名設定 (2)" sheetId="94" state="hidden" r:id="rId6"/>
    <sheet name="評価項目設定 (2)" sheetId="95" state="hidden" r:id="rId7"/>
    <sheet name="その他設定 (2)" sheetId="96" state="hidden" r:id="rId8"/>
    <sheet name="採点基準 (2)" sheetId="97" state="hidden" r:id="rId9"/>
    <sheet name="採点基準_単元別" sheetId="102" r:id="rId10"/>
    <sheet name="採点基準_観点別" sheetId="104" r:id="rId11"/>
    <sheet name="国語" sheetId="100" r:id="rId12"/>
    <sheet name="算数" sheetId="101" r:id="rId13"/>
  </sheets>
  <functionGroups builtInGroupCount="19"/>
  <definedNames>
    <definedName name="_xlnm._FilterDatabase" localSheetId="2" hidden="1">その他設定!$A$2:$B$38</definedName>
    <definedName name="_xlnm._FilterDatabase" localSheetId="7" hidden="1">'その他設定 (2)'!$A$2:$B$38</definedName>
    <definedName name="_xlnm._FilterDatabase" localSheetId="8" hidden="1">'採点基準 (2)'!$B$2:$Q$14</definedName>
    <definedName name="_xlnm._FilterDatabase" localSheetId="9" hidden="1">採点基準_単元別!$B$2:$Q$14</definedName>
    <definedName name="_xlnm._FilterDatabase" localSheetId="3" hidden="1">'設定 (2)'!$C$2:$D$45</definedName>
    <definedName name="_xlnm._FilterDatabase" localSheetId="0" hidden="1">評価項目設定!$A$1:$C$38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5" i="101" l="1" a="1"/>
  <c r="AH5" i="101" s="1"/>
  <c r="F11" i="104"/>
  <c r="F10" i="104"/>
  <c r="F9" i="104"/>
  <c r="F8" i="104"/>
  <c r="F7" i="104"/>
  <c r="F6" i="104"/>
  <c r="F5" i="104"/>
  <c r="F4" i="104"/>
  <c r="F3" i="104"/>
  <c r="J3" i="101" a="1"/>
  <c r="J3" i="101" s="1"/>
  <c r="I3" i="101" a="1"/>
  <c r="I3" i="101" s="1"/>
  <c r="H3" i="101" a="1"/>
  <c r="H3" i="101" s="1"/>
  <c r="G3" i="101" a="1"/>
  <c r="G3" i="101" s="1"/>
  <c r="F3" i="101" a="1"/>
  <c r="F3" i="101" s="1"/>
  <c r="K5" i="101"/>
  <c r="T14" i="102"/>
  <c r="S14" i="102"/>
  <c r="R14" i="102"/>
  <c r="T13" i="102"/>
  <c r="S13" i="102"/>
  <c r="R13" i="102"/>
  <c r="T12" i="102"/>
  <c r="S12" i="102"/>
  <c r="R12" i="102"/>
  <c r="T11" i="102"/>
  <c r="S11" i="102"/>
  <c r="R11" i="102"/>
  <c r="T10" i="102"/>
  <c r="S10" i="102"/>
  <c r="R10" i="102"/>
  <c r="T9" i="102"/>
  <c r="S9" i="102"/>
  <c r="R9" i="102"/>
  <c r="T8" i="102"/>
  <c r="S8" i="102"/>
  <c r="R8" i="102"/>
  <c r="T7" i="102"/>
  <c r="S7" i="102"/>
  <c r="R7" i="102"/>
  <c r="T6" i="102"/>
  <c r="S6" i="102"/>
  <c r="R6" i="102"/>
  <c r="T5" i="102"/>
  <c r="S5" i="102"/>
  <c r="R5" i="102"/>
  <c r="T4" i="102"/>
  <c r="S4" i="102"/>
  <c r="R4" i="102"/>
  <c r="T3" i="102"/>
  <c r="S3" i="102"/>
  <c r="R3" i="102"/>
  <c r="T14" i="97"/>
  <c r="S14" i="97"/>
  <c r="R14" i="97"/>
  <c r="T13" i="97"/>
  <c r="S13" i="97"/>
  <c r="R13" i="97"/>
  <c r="T12" i="97"/>
  <c r="S12" i="97"/>
  <c r="R12" i="97"/>
  <c r="T11" i="97"/>
  <c r="S11" i="97"/>
  <c r="R11" i="97"/>
  <c r="T10" i="97"/>
  <c r="S10" i="97"/>
  <c r="R10" i="97"/>
  <c r="T9" i="97"/>
  <c r="S9" i="97"/>
  <c r="R9" i="97"/>
  <c r="T8" i="97"/>
  <c r="S8" i="97"/>
  <c r="R8" i="97"/>
  <c r="T7" i="97"/>
  <c r="S7" i="97"/>
  <c r="R7" i="97"/>
  <c r="T6" i="97"/>
  <c r="S6" i="97"/>
  <c r="R6" i="97"/>
  <c r="T5" i="97"/>
  <c r="S5" i="97"/>
  <c r="R5" i="97"/>
  <c r="T4" i="97"/>
  <c r="S4" i="97"/>
  <c r="R4" i="97"/>
  <c r="T3" i="97"/>
  <c r="S3" i="97"/>
  <c r="R3" i="97"/>
  <c r="A1" i="91" a="1"/>
  <c r="A1" i="91" s="1"/>
  <c r="L6" i="101" l="1"/>
  <c r="L5" i="101"/>
  <c r="M5" i="101" s="1" a="1"/>
  <c r="M5" i="10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<sst xmlns="http://schemas.openxmlformats.org/spreadsheetml/2006/main" count="792" uniqueCount="70">
  <si>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</si>
  <si>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</si>
  <si>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</si>
  <si>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</si>
  <si>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</si>
  <si>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</si>
  <si>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</si>
  <si>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</si>
  <si>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</si>
  <si>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</si>
  <si>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</si>
  <si>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</si>
  <si>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</si>
  <si>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</si>
  <si>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</si>
  <si>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</si>
  <si>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</si>
  <si>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</si>
  <si>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</si>
  <si>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</si>
  <si>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</si>
  <si>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</si>
  <si>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</si>
  <si>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</si>
  <si>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</si>
  <si>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</si>
  <si>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</si>
  <si>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</si>
  <si>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</si>
  <si>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</si>
  <si>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</si>
  <si>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</si>
  <si>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</si>
  <si>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</si>
  <si>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</si>
  <si>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配点</t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</si>
  <si>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</si>
  <si>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</si>
  <si>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</si>
  <si>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</si>
  <si>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</si>
  <si>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</si>
  <si>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</si>
  <si>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</si>
  <si>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重み</t>
  </si>
  <si>
    <t>実施</t>
    <phoneticPr fontId="3"/>
  </si>
  <si>
    <t>観点1</t>
  </si>
  <si>
    <t>A</t>
  </si>
  <si>
    <t>B</t>
  </si>
  <si>
    <t>観点2</t>
  </si>
  <si>
    <t>観点3</t>
    <phoneticPr fontId="3"/>
  </si>
  <si>
    <t>配点</t>
    <phoneticPr fontId="3"/>
  </si>
  <si>
    <t>学級平均</t>
    <phoneticPr fontId="3"/>
  </si>
  <si>
    <t>XLOOKUP(MID(CELL("filename",$A$1),FIND("]",CELL("filename",$A$1))+1,31)&amp;F2&amp;F1,採点基準!$R$3:$R$14,採点基準!</t>
  </si>
  <si>
    <t>XLOOKUP(MID(CELL("filename",$A$1),FIND("]",CELL("filename",$A$1))+1,31)&amp;F2&amp;F1,採点基準!$R$3:$R$100000,採点基準!$F$3:$F$100000,</t>
  </si>
  <si>
    <t>XLOOKUP(MID(CELL("filename",$A$1),FIND("]",CELL("filename",$A$1))+1,31)&amp;F2&amp;F1,採点基準!$S$3:$S$100000,採点基準!$J$3:$J$100000),</t>
  </si>
  <si>
    <t>XLOOKUP(MID(CELL("filename",$A$1),FIND("]",CELL("filename",$A$1))+1,31)&amp;F2&amp;F1,採点基準!$T$3:$S$100000,採点基準!$N$3:$N$100000)</t>
  </si>
  <si>
    <t>)</t>
  </si>
  <si>
    <t>思考・判断・表現</t>
    <phoneticPr fontId="3"/>
  </si>
  <si>
    <t>主体的に学習に取り組む態度</t>
    <phoneticPr fontId="3"/>
  </si>
  <si>
    <t>知識・技能</t>
    <phoneticPr fontId="3"/>
  </si>
  <si>
    <t>観点</t>
    <phoneticPr fontId="3"/>
  </si>
  <si>
    <t>国語</t>
    <phoneticPr fontId="3"/>
  </si>
  <si>
    <t>3学期総合</t>
    <phoneticPr fontId="3"/>
  </si>
  <si>
    <t>A_x000D_
(%以上)</t>
    <phoneticPr fontId="3"/>
  </si>
  <si>
    <t>B_x000D_
(%以上)</t>
    <phoneticPr fontId="3"/>
  </si>
  <si>
    <t>C_x000D_
(%未満)</t>
    <phoneticPr fontId="3"/>
  </si>
  <si>
    <t>理科</t>
    <rPh sb="0" eb="2">
      <t>リカ</t>
    </rPh>
    <phoneticPr fontId="3"/>
  </si>
  <si>
    <t>算数</t>
    <phoneticPr fontId="3"/>
  </si>
  <si>
    <t>理科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</si>
</sst>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rgb="FF0061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FFA"/>
        <bgColor indexed="64"/>
      </patternFill>
    </fill>
  </fills>
  <borders count="1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</cellStyleXfs>
  <cellXfs count="5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vertical="top"/>
    </xf>
    <xf numFmtId="0" fontId="11" fillId="11" borderId="1" xfId="3" applyFont="1" applyFill="1" applyAlignment="1">
      <alignment horizontal="right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2" borderId="0" xfId="1" applyFont="1">
      <alignment vertical="center"/>
    </xf>
    <xf numFmtId="0" fontId="10" fillId="3" borderId="10" xfId="2" applyFont="1" applyBorder="1">
      <alignment vertical="center"/>
    </xf>
    <xf numFmtId="0" fontId="10" fillId="13" borderId="3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0" fillId="8" borderId="9" xfId="0" applyFont="1" applyFill="1" applyBorder="1">
      <alignment vertical="center"/>
    </xf>
    <xf numFmtId="0" fontId="10" fillId="8" borderId="8" xfId="0" applyFont="1" applyFill="1" applyBorder="1">
      <alignment vertical="center"/>
    </xf>
    <xf numFmtId="0" fontId="13" fillId="0" borderId="0" xfId="0" applyFont="1">
      <alignment vertical="center"/>
    </xf>
    <xf numFmtId="0" fontId="10" fillId="13" borderId="9" xfId="0" applyFont="1" applyFill="1" applyBorder="1">
      <alignment vertical="center"/>
    </xf>
    <xf numFmtId="0" fontId="10" fillId="9" borderId="9" xfId="0" applyFont="1" applyFill="1" applyBorder="1">
      <alignment vertical="center"/>
    </xf>
    <xf numFmtId="0" fontId="10" fillId="9" borderId="12" xfId="0" applyFont="1" applyFill="1" applyBorder="1">
      <alignment vertical="center"/>
    </xf>
    <xf numFmtId="0" fontId="14" fillId="7" borderId="3" xfId="0" applyFont="1" applyFill="1" applyBorder="1" applyAlignment="1">
      <alignment vertical="center" textRotation="255"/>
    </xf>
    <xf numFmtId="0" fontId="10" fillId="7" borderId="5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0" borderId="0" xfId="0" applyFont="1" applyBorder="1">
      <alignment vertical="center"/>
    </xf>
    <xf numFmtId="0" fontId="13" fillId="0" borderId="0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 applyAlignment="1">
      <alignment vertical="center" wrapText="1"/>
    </xf>
    <xf numFmtId="0" fontId="10" fillId="14" borderId="0" xfId="0" applyFont="1" applyFill="1" applyBorder="1">
      <alignment vertical="center"/>
    </xf>
  </cellXfs>
  <cellStyles count="4">
    <cellStyle name="40% - アクセント 3" xfId="2" builtinId="39"/>
    <cellStyle name="チェック セル" xfId="3" builtinId="23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008FFA"/>
      <color rgb="FF66CCFF"/>
      <color rgb="FF0075CC"/>
      <color rgb="FF990000"/>
      <color rgb="FFFF0000"/>
      <color rgb="FF800000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76201</xdr:rowOff>
        </xdr:from>
        <xdr:to>
          <xdr:col>4</xdr:col>
          <xdr:colOff>304800</xdr:colOff>
          <xdr:row>0</xdr:row>
          <xdr:rowOff>400051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72CE088-6BD4-4D03-A37D-734E291D5A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76201</xdr:rowOff>
        </xdr:from>
        <xdr:to>
          <xdr:col>4</xdr:col>
          <xdr:colOff>304800</xdr:colOff>
          <xdr:row>0</xdr:row>
          <xdr:rowOff>400051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8C002DB-8B15-4C50-BED9-C27F2BFF2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0"/>
  <sheetViews>
    <sheetView workbookViewId="0">
      <selection activeCell="C29" sqref="C29"/>
    </sheetView>
  </sheetViews>
  <sheetFormatPr defaultRowHeight="18.75" x14ac:dyDescent="0.4"/>
  <cols>
    <col min="1" max="1" width="15.75" style="13" customWidth="1"/>
    <col min="2" max="2" width="18.75" style="13" customWidth="1"/>
    <col min="3" max="3" width="29.25" style="13" customWidth="1"/>
  </cols>
  <sheetData>
    <row r="1" spans="1:3" ht="20.25" thickTop="1" thickBot="1" x14ac:dyDescent="0.2">
      <c r="A1" s="16" t="s">
        <v>33</v>
      </c>
      <c r="B1" s="17" t="s">
        <v>34</v>
      </c>
      <c r="C1" s="18"/>
    </row>
    <row r="2" spans="1:3" ht="19.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55" t="s">
        <v>6</v>
      </c>
      <c r="B3" s="50" t="s">
        <v>4</v>
      </c>
      <c r="C3" s="50" t="s">
        <v>15</v>
      </c>
    </row>
    <row r="4" spans="1:3" x14ac:dyDescent="0.4">
      <c r="A4" s="55"/>
      <c r="B4" s="50" t="s">
        <v>58</v>
      </c>
      <c r="C4" s="50" t="s">
        <v>5</v>
      </c>
    </row>
    <row r="5" spans="1:3" x14ac:dyDescent="0.4">
      <c r="A5" s="55"/>
      <c r="B5" s="50" t="s">
        <v>59</v>
      </c>
      <c r="C5" s="50" t="s">
        <v>7</v>
      </c>
    </row>
    <row r="6" spans="1:3" x14ac:dyDescent="0.4">
      <c r="A6" s="50" t="s">
        <v>6</v>
      </c>
      <c r="B6" s="50" t="s">
        <v>4</v>
      </c>
      <c r="C6" s="50" t="s">
        <v>16</v>
      </c>
    </row>
    <row r="7" spans="1:3" x14ac:dyDescent="0.4">
      <c r="A7" s="50" t="s">
        <v>6</v>
      </c>
      <c r="B7" s="50" t="s">
        <v>4</v>
      </c>
      <c r="C7" s="50" t="s">
        <v>8</v>
      </c>
    </row>
    <row r="8" spans="1:3" x14ac:dyDescent="0.4">
      <c r="A8" s="50" t="s">
        <v>6</v>
      </c>
      <c r="B8" s="50" t="s">
        <v>9</v>
      </c>
      <c r="C8" s="50" t="s">
        <v>15</v>
      </c>
    </row>
    <row r="9" spans="1:3" x14ac:dyDescent="0.4">
      <c r="A9" s="50" t="s">
        <v>6</v>
      </c>
      <c r="B9" s="50" t="s">
        <v>9</v>
      </c>
      <c r="C9" s="50" t="s">
        <v>7</v>
      </c>
    </row>
    <row r="10" spans="1:3" x14ac:dyDescent="0.4">
      <c r="A10" s="50" t="s">
        <v>6</v>
      </c>
      <c r="B10" s="50" t="s">
        <v>9</v>
      </c>
      <c r="C10" s="50" t="s">
        <v>5</v>
      </c>
    </row>
    <row r="11" spans="1:3" x14ac:dyDescent="0.4">
      <c r="A11" s="50" t="s">
        <v>6</v>
      </c>
      <c r="B11" s="50" t="s">
        <v>9</v>
      </c>
      <c r="C11" s="50" t="s">
        <v>7</v>
      </c>
    </row>
    <row r="12" spans="1:3" x14ac:dyDescent="0.4">
      <c r="A12" s="50" t="s">
        <v>6</v>
      </c>
      <c r="B12" s="50" t="s">
        <v>9</v>
      </c>
      <c r="C12" s="50" t="s">
        <v>27</v>
      </c>
    </row>
    <row r="13" spans="1:3" x14ac:dyDescent="0.4">
      <c r="A13" s="50" t="s">
        <v>6</v>
      </c>
      <c r="B13" s="50" t="s">
        <v>9</v>
      </c>
      <c r="C13" s="50" t="s">
        <v>8</v>
      </c>
    </row>
    <row r="14" spans="1:3" x14ac:dyDescent="0.4">
      <c r="A14" s="50" t="s">
        <v>6</v>
      </c>
      <c r="B14" s="50" t="s">
        <v>18</v>
      </c>
      <c r="C14" s="50" t="s">
        <v>15</v>
      </c>
    </row>
    <row r="15" spans="1:3" x14ac:dyDescent="0.4">
      <c r="A15" s="50" t="s">
        <v>6</v>
      </c>
      <c r="B15" s="50" t="s">
        <v>18</v>
      </c>
      <c r="C15" s="50" t="s">
        <v>7</v>
      </c>
    </row>
    <row r="16" spans="1:3" x14ac:dyDescent="0.4">
      <c r="A16" s="50" t="s">
        <v>6</v>
      </c>
      <c r="B16" s="50" t="s">
        <v>18</v>
      </c>
      <c r="C16" s="50" t="s">
        <v>5</v>
      </c>
    </row>
    <row r="17" spans="1:3" x14ac:dyDescent="0.4">
      <c r="A17" s="50" t="s">
        <v>6</v>
      </c>
      <c r="B17" s="50" t="s">
        <v>18</v>
      </c>
      <c r="C17" s="50" t="s">
        <v>7</v>
      </c>
    </row>
    <row r="18" spans="1:3" x14ac:dyDescent="0.4">
      <c r="A18" s="50" t="s">
        <v>6</v>
      </c>
      <c r="B18" s="50" t="s">
        <v>18</v>
      </c>
      <c r="C18" s="50" t="s">
        <v>17</v>
      </c>
    </row>
    <row r="19" spans="1:3" x14ac:dyDescent="0.4">
      <c r="A19" s="50" t="s">
        <v>6</v>
      </c>
      <c r="B19" s="50" t="s">
        <v>18</v>
      </c>
      <c r="C19" s="50" t="s">
        <v>16</v>
      </c>
    </row>
    <row r="20" spans="1:3" x14ac:dyDescent="0.4">
      <c r="A20" s="50" t="s">
        <v>6</v>
      </c>
      <c r="B20" s="50" t="s">
        <v>18</v>
      </c>
      <c r="C20" s="50" t="s">
        <v>8</v>
      </c>
    </row>
    <row r="21" spans="1:3" x14ac:dyDescent="0.4">
      <c r="A21" s="50" t="s">
        <v>11</v>
      </c>
      <c r="B21" s="50" t="s">
        <v>4</v>
      </c>
      <c r="C21" s="50" t="s">
        <v>15</v>
      </c>
    </row>
    <row r="22" spans="1:3" x14ac:dyDescent="0.4">
      <c r="A22" s="50" t="s">
        <v>11</v>
      </c>
      <c r="B22" s="50" t="s">
        <v>4</v>
      </c>
      <c r="C22" s="50" t="s">
        <v>5</v>
      </c>
    </row>
    <row r="23" spans="1:3" x14ac:dyDescent="0.4">
      <c r="A23" s="50" t="s">
        <v>11</v>
      </c>
      <c r="B23" s="50" t="s">
        <v>4</v>
      </c>
      <c r="C23" s="50" t="s">
        <v>7</v>
      </c>
    </row>
    <row r="24" spans="1:3" x14ac:dyDescent="0.4">
      <c r="A24" s="50" t="s">
        <v>11</v>
      </c>
      <c r="B24" s="50" t="s">
        <v>4</v>
      </c>
      <c r="C24" s="50" t="s">
        <v>16</v>
      </c>
    </row>
    <row r="25" spans="1:3" x14ac:dyDescent="0.4">
      <c r="A25" s="50" t="s">
        <v>11</v>
      </c>
      <c r="B25" s="50" t="s">
        <v>4</v>
      </c>
      <c r="C25" s="50" t="s">
        <v>8</v>
      </c>
    </row>
    <row r="26" spans="1:3" x14ac:dyDescent="0.4">
      <c r="A26" s="50" t="s">
        <v>11</v>
      </c>
      <c r="B26" s="50" t="s">
        <v>9</v>
      </c>
      <c r="C26" s="50" t="s">
        <v>15</v>
      </c>
    </row>
    <row r="27" spans="1:3" x14ac:dyDescent="0.4">
      <c r="A27" s="50" t="s">
        <v>11</v>
      </c>
      <c r="B27" s="50" t="s">
        <v>9</v>
      </c>
      <c r="C27" s="50" t="s">
        <v>7</v>
      </c>
    </row>
    <row r="28" spans="1:3" x14ac:dyDescent="0.4">
      <c r="A28" s="50" t="s">
        <v>11</v>
      </c>
      <c r="B28" s="50" t="s">
        <v>9</v>
      </c>
      <c r="C28" s="50" t="s">
        <v>5</v>
      </c>
    </row>
    <row r="29" spans="1:3" x14ac:dyDescent="0.4">
      <c r="A29" s="50" t="s">
        <v>11</v>
      </c>
      <c r="B29" s="50" t="s">
        <v>9</v>
      </c>
      <c r="C29" s="50" t="s">
        <v>7</v>
      </c>
    </row>
    <row r="30" spans="1:3" x14ac:dyDescent="0.4">
      <c r="A30" s="50" t="s">
        <v>11</v>
      </c>
      <c r="B30" s="50" t="s">
        <v>9</v>
      </c>
      <c r="C30" s="50" t="s">
        <v>17</v>
      </c>
    </row>
    <row r="31" spans="1:3" x14ac:dyDescent="0.4">
      <c r="A31" s="50" t="s">
        <v>11</v>
      </c>
      <c r="B31" s="50" t="s">
        <v>9</v>
      </c>
      <c r="C31" s="50" t="s">
        <v>8</v>
      </c>
    </row>
    <row r="32" spans="1:3" x14ac:dyDescent="0.4">
      <c r="A32" s="50" t="s">
        <v>11</v>
      </c>
      <c r="B32" s="50" t="s">
        <v>18</v>
      </c>
      <c r="C32" s="50" t="s">
        <v>15</v>
      </c>
    </row>
    <row r="33" spans="1:3" x14ac:dyDescent="0.4">
      <c r="A33" s="50" t="s">
        <v>11</v>
      </c>
      <c r="B33" s="50" t="s">
        <v>18</v>
      </c>
      <c r="C33" s="50" t="s">
        <v>7</v>
      </c>
    </row>
    <row r="34" spans="1:3" x14ac:dyDescent="0.4">
      <c r="A34" s="50" t="s">
        <v>11</v>
      </c>
      <c r="B34" s="50" t="s">
        <v>18</v>
      </c>
      <c r="C34" s="50" t="s">
        <v>5</v>
      </c>
    </row>
    <row r="35" spans="1:3" x14ac:dyDescent="0.4">
      <c r="A35" s="50" t="s">
        <v>11</v>
      </c>
      <c r="B35" s="50" t="s">
        <v>18</v>
      </c>
      <c r="C35" s="50" t="s">
        <v>7</v>
      </c>
    </row>
    <row r="36" spans="1:3" x14ac:dyDescent="0.4">
      <c r="A36" s="50" t="s">
        <v>11</v>
      </c>
      <c r="B36" s="50" t="s">
        <v>18</v>
      </c>
      <c r="C36" s="50" t="s">
        <v>17</v>
      </c>
    </row>
    <row r="37" spans="1:3" x14ac:dyDescent="0.4">
      <c r="A37" s="50" t="s">
        <v>11</v>
      </c>
      <c r="B37" s="50" t="s">
        <v>18</v>
      </c>
      <c r="C37" s="50" t="s">
        <v>16</v>
      </c>
    </row>
    <row r="38" spans="1:3" x14ac:dyDescent="0.4">
      <c r="A38" s="50" t="s">
        <v>11</v>
      </c>
      <c r="B38" s="50" t="s">
        <v>18</v>
      </c>
      <c r="C38" s="50" t="s">
        <v>8</v>
      </c>
    </row>
    <row r="39" spans="1:3" x14ac:dyDescent="0.4">
      <c r="A39" s="50" t="s">
        <v>67</v>
      </c>
      <c r="B39" s="50" t="s">
        <v>4</v>
      </c>
      <c r="C39" s="50" t="s">
        <v>15</v>
      </c>
    </row>
    <row r="40" spans="1:3" x14ac:dyDescent="0.4">
      <c r="A40" s="50" t="s">
        <v>67</v>
      </c>
      <c r="B40" s="50" t="s">
        <v>4</v>
      </c>
      <c r="C40" s="50" t="s">
        <v>5</v>
      </c>
    </row>
    <row r="41" spans="1:3" x14ac:dyDescent="0.4">
      <c r="A41" s="50" t="s">
        <v>67</v>
      </c>
      <c r="B41" s="50" t="s">
        <v>4</v>
      </c>
      <c r="C41" s="50" t="s">
        <v>7</v>
      </c>
    </row>
    <row r="42" spans="1:3" x14ac:dyDescent="0.4">
      <c r="A42" s="50" t="s">
        <v>67</v>
      </c>
      <c r="B42" s="50" t="s">
        <v>4</v>
      </c>
      <c r="C42" s="50" t="s">
        <v>16</v>
      </c>
    </row>
    <row r="43" spans="1:3" x14ac:dyDescent="0.4">
      <c r="A43" s="50" t="s">
        <v>67</v>
      </c>
      <c r="B43" s="50" t="s">
        <v>4</v>
      </c>
      <c r="C43" s="50" t="s">
        <v>8</v>
      </c>
    </row>
    <row r="44" spans="1:3" x14ac:dyDescent="0.4">
      <c r="A44" s="50" t="s">
        <v>67</v>
      </c>
      <c r="B44" s="50" t="s">
        <v>9</v>
      </c>
      <c r="C44" s="50" t="s">
        <v>15</v>
      </c>
    </row>
    <row r="45" spans="1:3" x14ac:dyDescent="0.4">
      <c r="A45" s="50" t="s">
        <v>67</v>
      </c>
      <c r="B45" s="50" t="s">
        <v>9</v>
      </c>
      <c r="C45" s="50" t="s">
        <v>7</v>
      </c>
    </row>
    <row r="46" spans="1:3" x14ac:dyDescent="0.4">
      <c r="A46" s="50" t="s">
        <v>67</v>
      </c>
      <c r="B46" s="50" t="s">
        <v>9</v>
      </c>
      <c r="C46" s="50" t="s">
        <v>5</v>
      </c>
    </row>
    <row r="47" spans="1:3" x14ac:dyDescent="0.4">
      <c r="A47" s="50" t="s">
        <v>67</v>
      </c>
      <c r="B47" s="50" t="s">
        <v>9</v>
      </c>
      <c r="C47" s="50" t="s">
        <v>7</v>
      </c>
    </row>
    <row r="48" spans="1:3" x14ac:dyDescent="0.4">
      <c r="A48" s="50" t="s">
        <v>67</v>
      </c>
      <c r="B48" s="50" t="s">
        <v>9</v>
      </c>
      <c r="C48" s="50" t="s">
        <v>17</v>
      </c>
    </row>
    <row r="49" spans="1:3" x14ac:dyDescent="0.4">
      <c r="A49" s="50" t="s">
        <v>67</v>
      </c>
      <c r="B49" s="50" t="s">
        <v>9</v>
      </c>
      <c r="C49" s="50" t="s">
        <v>8</v>
      </c>
    </row>
    <row r="50" spans="1:3" x14ac:dyDescent="0.4">
      <c r="A50" s="50" t="s">
        <v>67</v>
      </c>
      <c r="B50" s="50" t="s">
        <v>18</v>
      </c>
      <c r="C50" s="50" t="s">
        <v>15</v>
      </c>
    </row>
  </sheetData>
  <autoFilter ref="A1:C38" xr:uid="{BD0A72EA-60DE-46E7-B122-2E795F5C6865}"/>
  <mergeCells count="1">
    <mergeCell ref="A3:A5"/>
  </mergeCells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38"/>
  <sheetViews>
    <sheetView workbookViewId="0">
      <selection activeCell="E30" sqref="E30"/>
    </sheetView>
  </sheetViews>
  <sheetFormatPr defaultRowHeight="18.75" x14ac:dyDescent="0.4"/>
  <sheetData>
    <row r="1" spans="1:2" ht="20.25" thickTop="1" thickBot="1" x14ac:dyDescent="0.45">
      <c r="A1" s="14" t="s">
        <v>28</v>
      </c>
      <c r="B1" s="15"/>
    </row>
    <row r="2" spans="1:2" ht="19.5" thickTop="1" x14ac:dyDescent="0.4">
      <c r="A2" s="21" t="s">
        <v>1</v>
      </c>
      <c r="B2" s="21" t="s">
        <v>20</v>
      </c>
    </row>
    <row r="3" spans="1:2" x14ac:dyDescent="0.4">
      <c r="A3" s="50">
        <v>1</v>
      </c>
      <c r="B3" s="50" t="s">
        <v>2</v>
      </c>
    </row>
    <row r="4" spans="1:2" x14ac:dyDescent="0.4">
      <c r="A4" s="50">
        <v>2</v>
      </c>
      <c r="B4" s="50" t="s">
        <v>2</v>
      </c>
    </row>
    <row r="5" spans="1:2" x14ac:dyDescent="0.4">
      <c r="A5" s="50">
        <v>3</v>
      </c>
      <c r="B5" s="50" t="s">
        <v>2</v>
      </c>
    </row>
    <row r="6" spans="1:2" x14ac:dyDescent="0.4">
      <c r="A6" s="50">
        <v>4</v>
      </c>
      <c r="B6" s="50" t="s">
        <v>2</v>
      </c>
    </row>
    <row r="7" spans="1:2" x14ac:dyDescent="0.4">
      <c r="A7" s="50">
        <v>5</v>
      </c>
      <c r="B7" s="50" t="s">
        <v>2</v>
      </c>
    </row>
    <row r="8" spans="1:2" x14ac:dyDescent="0.4">
      <c r="A8" s="50">
        <v>6</v>
      </c>
      <c r="B8" s="50" t="s">
        <v>2</v>
      </c>
    </row>
    <row r="9" spans="1:2" x14ac:dyDescent="0.4">
      <c r="A9" s="50">
        <v>7</v>
      </c>
      <c r="B9" s="50" t="s">
        <v>2</v>
      </c>
    </row>
    <row r="10" spans="1:2" x14ac:dyDescent="0.4">
      <c r="A10" s="50">
        <v>8</v>
      </c>
      <c r="B10" s="50" t="s">
        <v>2</v>
      </c>
    </row>
    <row r="11" spans="1:2" x14ac:dyDescent="0.4">
      <c r="A11" s="50">
        <v>9</v>
      </c>
      <c r="B11" s="50" t="s">
        <v>2</v>
      </c>
    </row>
    <row r="12" spans="1:2" x14ac:dyDescent="0.4">
      <c r="A12" s="50">
        <v>10</v>
      </c>
      <c r="B12" s="50" t="s">
        <v>2</v>
      </c>
    </row>
    <row r="13" spans="1:2" x14ac:dyDescent="0.4">
      <c r="A13" s="50">
        <v>11</v>
      </c>
      <c r="B13" s="50" t="s">
        <v>2</v>
      </c>
    </row>
    <row r="14" spans="1:2" x14ac:dyDescent="0.4">
      <c r="A14" s="50">
        <v>12</v>
      </c>
      <c r="B14" s="50" t="s">
        <v>2</v>
      </c>
    </row>
    <row r="15" spans="1:2" x14ac:dyDescent="0.4">
      <c r="A15" s="50">
        <v>13</v>
      </c>
      <c r="B15" s="50" t="s">
        <v>2</v>
      </c>
    </row>
    <row r="16" spans="1:2" x14ac:dyDescent="0.4">
      <c r="A16" s="50">
        <v>14</v>
      </c>
      <c r="B16" s="50" t="s">
        <v>2</v>
      </c>
    </row>
    <row r="17" spans="1:2" x14ac:dyDescent="0.4">
      <c r="A17" s="50">
        <v>14</v>
      </c>
      <c r="B17" s="50" t="s">
        <v>2</v>
      </c>
    </row>
    <row r="18" spans="1:2" x14ac:dyDescent="0.4">
      <c r="A18" s="50">
        <v>14</v>
      </c>
      <c r="B18" s="50" t="s">
        <v>2</v>
      </c>
    </row>
    <row r="19" spans="1:2" x14ac:dyDescent="0.4">
      <c r="A19" s="50">
        <v>14</v>
      </c>
      <c r="B19" s="50" t="s">
        <v>2</v>
      </c>
    </row>
    <row r="20" spans="1:2" x14ac:dyDescent="0.4">
      <c r="A20" s="50">
        <v>14</v>
      </c>
      <c r="B20" s="50" t="s">
        <v>2</v>
      </c>
    </row>
    <row r="21" spans="1:2" x14ac:dyDescent="0.4">
      <c r="A21" s="50">
        <v>14</v>
      </c>
      <c r="B21" s="50" t="s">
        <v>2</v>
      </c>
    </row>
    <row r="22" spans="1:2" x14ac:dyDescent="0.4">
      <c r="A22" s="50">
        <v>14</v>
      </c>
      <c r="B22" s="50" t="s">
        <v>2</v>
      </c>
    </row>
    <row r="23" spans="1:2" x14ac:dyDescent="0.4">
      <c r="A23" s="50">
        <v>14</v>
      </c>
      <c r="B23" s="50" t="s">
        <v>2</v>
      </c>
    </row>
    <row r="24" spans="1:2" x14ac:dyDescent="0.4">
      <c r="A24" s="50">
        <v>14</v>
      </c>
      <c r="B24" s="50" t="s">
        <v>2</v>
      </c>
    </row>
    <row r="25" spans="1:2" x14ac:dyDescent="0.4">
      <c r="A25" s="50">
        <v>14</v>
      </c>
      <c r="B25" s="50" t="s">
        <v>2</v>
      </c>
    </row>
    <row r="26" spans="1:2" x14ac:dyDescent="0.4">
      <c r="A26" s="50">
        <v>14</v>
      </c>
      <c r="B26" s="50" t="s">
        <v>2</v>
      </c>
    </row>
    <row r="27" spans="1:2" x14ac:dyDescent="0.4">
      <c r="A27" s="50">
        <v>14</v>
      </c>
      <c r="B27" s="50" t="s">
        <v>2</v>
      </c>
    </row>
    <row r="28" spans="1:2" x14ac:dyDescent="0.4">
      <c r="A28" s="50">
        <v>14</v>
      </c>
      <c r="B28" s="50" t="s">
        <v>2</v>
      </c>
    </row>
    <row r="29" spans="1:2" x14ac:dyDescent="0.4">
      <c r="A29" s="50">
        <v>14</v>
      </c>
      <c r="B29" s="25"/>
    </row>
    <row r="30" spans="1:2" x14ac:dyDescent="0.4">
      <c r="A30" s="50">
        <v>14</v>
      </c>
      <c r="B30" s="50" t="s">
        <v>2</v>
      </c>
    </row>
    <row r="31" spans="1:2" x14ac:dyDescent="0.4">
      <c r="A31" s="50">
        <v>14</v>
      </c>
      <c r="B31" s="50" t="s">
        <v>2</v>
      </c>
    </row>
    <row r="32" spans="1:2" x14ac:dyDescent="0.4">
      <c r="A32" s="50">
        <v>14</v>
      </c>
      <c r="B32" s="50" t="s">
        <v>2</v>
      </c>
    </row>
    <row r="33" spans="1:2" x14ac:dyDescent="0.4">
      <c r="A33" s="50">
        <v>14</v>
      </c>
      <c r="B33" s="50" t="s">
        <v>2</v>
      </c>
    </row>
    <row r="34" spans="1:2" x14ac:dyDescent="0.4">
      <c r="A34" s="50">
        <v>14</v>
      </c>
      <c r="B34" s="25"/>
    </row>
    <row r="35" spans="1:2" x14ac:dyDescent="0.4">
      <c r="A35" s="50">
        <v>14</v>
      </c>
      <c r="B35" s="50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5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 activeCell="B43" sqref="B43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x14ac:dyDescent="0.4">
      <c r="A2" s="23" t="s">
        <v>29</v>
      </c>
      <c r="B2" s="24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>
      <selection activeCell="C28" sqref="C28"/>
    </sheetView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23447-E6A2-43DC-8996-705F15C93110}">
  <sheetPr codeName="Sheet25"/>
  <dimension ref="A1:A8"/>
  <sheetViews>
    <sheetView workbookViewId="0">
      <selection activeCell="C30" sqref="C30"/>
    </sheetView>
  </sheetViews>
  <sheetFormatPr defaultRowHeight="18.75" x14ac:dyDescent="0.4"/>
  <sheetData>
    <row r="1" spans="1:1" x14ac:dyDescent="0.4">
      <c r="A1" cm="1">
        <f t="array" aca="1" ref="A1" ca="1">IF(F5="",0,_xlfn.XLOOKUP(MID(CELL("filename",$A$1),FIND("]",CELL("filename",$A$1))+1,31)&amp;F2&amp;F1,#REF!,#REF!,_xlfn.XLOOKUP(MID(CELL("filename",A1),FIND("]",CELL("filename",$A$1))+1,31)&amp;F2&amp;F1,#REF!,#REF!,_xlfn.XLOOKUP(MID(CELL("filename",$A$1),FIND("]",CELL("filename",$A$1))+1,31)&amp;F2&amp;F1,#REF!,#REF!))))</f>
        <v>0</v>
      </c>
    </row>
    <row r="2" spans="1:1" x14ac:dyDescent="0.4">
      <c r="A2" t="s">
        <v>53</v>
      </c>
    </row>
    <row r="5" spans="1:1" x14ac:dyDescent="0.4">
      <c r="A5" t="s">
        <v>54</v>
      </c>
    </row>
    <row r="6" spans="1:1" x14ac:dyDescent="0.4">
      <c r="A6" t="s">
        <v>55</v>
      </c>
    </row>
    <row r="7" spans="1:1" x14ac:dyDescent="0.4">
      <c r="A7" t="s">
        <v>56</v>
      </c>
    </row>
    <row r="8" spans="1:1" x14ac:dyDescent="0.4">
      <c r="A8" t="s">
        <v>57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3CE3F-EAB7-4444-BA83-7258B58424C4}">
  <sheetPr codeName="Sheet5"/>
  <dimension ref="A1:B38"/>
  <sheetViews>
    <sheetView workbookViewId="0">
      <selection activeCell="B18" sqref="B18"/>
    </sheetView>
  </sheetViews>
  <sheetFormatPr defaultRowHeight="18.75" x14ac:dyDescent="0.4"/>
  <sheetData>
    <row r="1" spans="1:2" ht="20.25" thickTop="1" thickBot="1" x14ac:dyDescent="0.45">
      <c r="A1" s="14" t="s">
        <v>28</v>
      </c>
      <c r="B1" s="15"/>
    </row>
    <row r="2" spans="1:2" ht="19.5" thickTop="1" x14ac:dyDescent="0.4">
      <c r="A2" s="21" t="s">
        <v>1</v>
      </c>
      <c r="B2" s="21" t="s">
        <v>20</v>
      </c>
    </row>
    <row r="3" spans="1:2" x14ac:dyDescent="0.4">
      <c r="A3" s="13">
        <v>1</v>
      </c>
      <c r="B3" s="13" t="s">
        <v>2</v>
      </c>
    </row>
    <row r="4" spans="1:2" x14ac:dyDescent="0.4">
      <c r="A4" s="13">
        <v>2</v>
      </c>
      <c r="B4" s="13" t="s">
        <v>2</v>
      </c>
    </row>
    <row r="5" spans="1:2" x14ac:dyDescent="0.4">
      <c r="A5" s="13">
        <v>3</v>
      </c>
      <c r="B5" s="13" t="s">
        <v>2</v>
      </c>
    </row>
    <row r="6" spans="1:2" x14ac:dyDescent="0.4">
      <c r="A6" s="13">
        <v>4</v>
      </c>
      <c r="B6" s="13" t="s">
        <v>2</v>
      </c>
    </row>
    <row r="7" spans="1:2" x14ac:dyDescent="0.4">
      <c r="A7" s="13">
        <v>5</v>
      </c>
      <c r="B7" s="13" t="s">
        <v>2</v>
      </c>
    </row>
    <row r="8" spans="1:2" x14ac:dyDescent="0.4">
      <c r="A8" s="13">
        <v>6</v>
      </c>
      <c r="B8" s="13" t="s">
        <v>2</v>
      </c>
    </row>
    <row r="9" spans="1:2" x14ac:dyDescent="0.4">
      <c r="A9" s="13">
        <v>7</v>
      </c>
      <c r="B9" s="13" t="s">
        <v>2</v>
      </c>
    </row>
    <row r="10" spans="1:2" x14ac:dyDescent="0.4">
      <c r="A10" s="13">
        <v>8</v>
      </c>
      <c r="B10" s="13" t="s">
        <v>2</v>
      </c>
    </row>
    <row r="11" spans="1:2" x14ac:dyDescent="0.4">
      <c r="A11" s="13">
        <v>9</v>
      </c>
      <c r="B11" s="13" t="s">
        <v>2</v>
      </c>
    </row>
    <row r="12" spans="1:2" x14ac:dyDescent="0.4">
      <c r="A12" s="13">
        <v>10</v>
      </c>
      <c r="B12" s="13" t="s">
        <v>2</v>
      </c>
    </row>
    <row r="13" spans="1:2" x14ac:dyDescent="0.4">
      <c r="A13" s="13">
        <v>11</v>
      </c>
      <c r="B13" s="13" t="s">
        <v>2</v>
      </c>
    </row>
    <row r="14" spans="1:2" x14ac:dyDescent="0.4">
      <c r="A14" s="13">
        <v>12</v>
      </c>
      <c r="B14" s="13" t="s">
        <v>2</v>
      </c>
    </row>
    <row r="15" spans="1:2" x14ac:dyDescent="0.4">
      <c r="A15" s="13">
        <v>13</v>
      </c>
      <c r="B15" s="13" t="s">
        <v>2</v>
      </c>
    </row>
    <row r="16" spans="1:2" x14ac:dyDescent="0.4">
      <c r="A16" s="13">
        <v>14</v>
      </c>
      <c r="B16" s="13" t="s">
        <v>2</v>
      </c>
    </row>
    <row r="17" spans="1:2" x14ac:dyDescent="0.4">
      <c r="A17" s="13">
        <v>14</v>
      </c>
      <c r="B17" s="13" t="s">
        <v>2</v>
      </c>
    </row>
    <row r="18" spans="1:2" x14ac:dyDescent="0.4">
      <c r="A18" s="13">
        <v>14</v>
      </c>
      <c r="B18" s="13" t="s">
        <v>2</v>
      </c>
    </row>
    <row r="19" spans="1:2" x14ac:dyDescent="0.4">
      <c r="A19" s="13">
        <v>14</v>
      </c>
      <c r="B19" s="13" t="s">
        <v>2</v>
      </c>
    </row>
    <row r="20" spans="1:2" x14ac:dyDescent="0.4">
      <c r="A20" s="13">
        <v>14</v>
      </c>
      <c r="B20" s="13" t="s">
        <v>2</v>
      </c>
    </row>
    <row r="21" spans="1:2" x14ac:dyDescent="0.4">
      <c r="A21" s="13">
        <v>14</v>
      </c>
      <c r="B21" s="13" t="s">
        <v>2</v>
      </c>
    </row>
    <row r="22" spans="1:2" x14ac:dyDescent="0.4">
      <c r="A22" s="13">
        <v>14</v>
      </c>
      <c r="B22" s="13" t="s">
        <v>2</v>
      </c>
    </row>
    <row r="23" spans="1:2" x14ac:dyDescent="0.4">
      <c r="A23" s="13">
        <v>14</v>
      </c>
      <c r="B23" s="13" t="s">
        <v>2</v>
      </c>
    </row>
    <row r="24" spans="1:2" x14ac:dyDescent="0.4">
      <c r="A24" s="13">
        <v>14</v>
      </c>
      <c r="B24" s="13" t="s">
        <v>2</v>
      </c>
    </row>
    <row r="25" spans="1:2" x14ac:dyDescent="0.4">
      <c r="A25" s="13">
        <v>14</v>
      </c>
      <c r="B25" s="13" t="s">
        <v>2</v>
      </c>
    </row>
    <row r="26" spans="1:2" x14ac:dyDescent="0.4">
      <c r="A26" s="13">
        <v>14</v>
      </c>
      <c r="B26" s="13" t="s">
        <v>2</v>
      </c>
    </row>
    <row r="27" spans="1:2" x14ac:dyDescent="0.4">
      <c r="A27" s="13">
        <v>14</v>
      </c>
      <c r="B27" s="13" t="s">
        <v>2</v>
      </c>
    </row>
    <row r="28" spans="1:2" x14ac:dyDescent="0.4">
      <c r="A28" s="13">
        <v>14</v>
      </c>
      <c r="B28" s="13" t="s">
        <v>2</v>
      </c>
    </row>
    <row r="29" spans="1:2" x14ac:dyDescent="0.4">
      <c r="A29" s="13">
        <v>14</v>
      </c>
      <c r="B29" s="25"/>
    </row>
    <row r="30" spans="1:2" x14ac:dyDescent="0.4">
      <c r="A30" s="13">
        <v>14</v>
      </c>
      <c r="B30" s="13" t="s">
        <v>2</v>
      </c>
    </row>
    <row r="31" spans="1:2" x14ac:dyDescent="0.4">
      <c r="A31" s="13">
        <v>14</v>
      </c>
      <c r="B31" s="13" t="s">
        <v>2</v>
      </c>
    </row>
    <row r="32" spans="1:2" x14ac:dyDescent="0.4">
      <c r="A32" s="13">
        <v>14</v>
      </c>
      <c r="B32" s="13" t="s">
        <v>2</v>
      </c>
    </row>
    <row r="33" spans="1:2" x14ac:dyDescent="0.4">
      <c r="A33" s="13">
        <v>14</v>
      </c>
      <c r="B33" s="13" t="s">
        <v>2</v>
      </c>
    </row>
    <row r="34" spans="1:2" x14ac:dyDescent="0.4">
      <c r="A34" s="13">
        <v>14</v>
      </c>
      <c r="B34" s="25"/>
    </row>
    <row r="35" spans="1:2" x14ac:dyDescent="0.4">
      <c r="A35" s="13">
        <v>14</v>
      </c>
      <c r="B35" s="13" t="s">
        <v>2</v>
      </c>
    </row>
    <row r="36" spans="1:2" x14ac:dyDescent="0.4">
      <c r="A36" s="13"/>
      <c r="B36" s="13"/>
    </row>
    <row r="37" spans="1:2" x14ac:dyDescent="0.4">
      <c r="A37" s="13"/>
      <c r="B37" s="13"/>
    </row>
    <row r="38" spans="1:2" x14ac:dyDescent="0.4">
      <c r="A38" s="13"/>
      <c r="B38" s="13"/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1247F-0407-4D24-B943-A94179986971}">
  <sheetPr codeName="Sheet6"/>
  <dimension ref="A1:C38"/>
  <sheetViews>
    <sheetView workbookViewId="0">
      <selection activeCell="B18" sqref="B18"/>
    </sheetView>
  </sheetViews>
  <sheetFormatPr defaultRowHeight="18.75" x14ac:dyDescent="0.4"/>
  <cols>
    <col min="1" max="1" width="15.75" style="13" customWidth="1"/>
    <col min="2" max="2" width="18.75" style="13" customWidth="1"/>
    <col min="3" max="3" width="29.25" style="13" customWidth="1"/>
  </cols>
  <sheetData>
    <row r="1" spans="1:3" ht="20.25" thickTop="1" thickBot="1" x14ac:dyDescent="0.2">
      <c r="A1" s="16" t="s">
        <v>33</v>
      </c>
      <c r="B1" s="17" t="s">
        <v>34</v>
      </c>
      <c r="C1" s="18"/>
    </row>
    <row r="2" spans="1:3" ht="19.5" thickTop="1" x14ac:dyDescent="0.4">
      <c r="A2" s="22" t="s">
        <v>0</v>
      </c>
      <c r="B2" s="22" t="s">
        <v>3</v>
      </c>
      <c r="C2" s="22" t="s">
        <v>19</v>
      </c>
    </row>
    <row r="3" spans="1:3" x14ac:dyDescent="0.4">
      <c r="A3" s="13" t="s">
        <v>6</v>
      </c>
      <c r="B3" s="13" t="s">
        <v>4</v>
      </c>
      <c r="C3" s="13" t="s">
        <v>15</v>
      </c>
    </row>
    <row r="4" spans="1:3" x14ac:dyDescent="0.4">
      <c r="A4" s="13" t="s">
        <v>6</v>
      </c>
      <c r="B4" s="13" t="s">
        <v>4</v>
      </c>
      <c r="C4" s="13" t="s">
        <v>5</v>
      </c>
    </row>
    <row r="5" spans="1:3" x14ac:dyDescent="0.4">
      <c r="A5" s="13" t="s">
        <v>6</v>
      </c>
      <c r="B5" s="13" t="s">
        <v>4</v>
      </c>
      <c r="C5" s="13" t="s">
        <v>7</v>
      </c>
    </row>
    <row r="6" spans="1:3" x14ac:dyDescent="0.4">
      <c r="A6" s="13" t="s">
        <v>6</v>
      </c>
      <c r="B6" s="13" t="s">
        <v>4</v>
      </c>
      <c r="C6" s="13" t="s">
        <v>16</v>
      </c>
    </row>
    <row r="7" spans="1:3" x14ac:dyDescent="0.4">
      <c r="A7" s="13" t="s">
        <v>6</v>
      </c>
      <c r="B7" s="13" t="s">
        <v>4</v>
      </c>
      <c r="C7" s="13" t="s">
        <v>8</v>
      </c>
    </row>
    <row r="8" spans="1:3" x14ac:dyDescent="0.4">
      <c r="A8" s="13" t="s">
        <v>6</v>
      </c>
      <c r="B8" s="13" t="s">
        <v>9</v>
      </c>
      <c r="C8" s="13" t="s">
        <v>15</v>
      </c>
    </row>
    <row r="9" spans="1:3" x14ac:dyDescent="0.4">
      <c r="A9" s="13" t="s">
        <v>6</v>
      </c>
      <c r="B9" s="13" t="s">
        <v>9</v>
      </c>
      <c r="C9" s="13" t="s">
        <v>7</v>
      </c>
    </row>
    <row r="10" spans="1:3" x14ac:dyDescent="0.4">
      <c r="A10" s="13" t="s">
        <v>6</v>
      </c>
      <c r="B10" s="13" t="s">
        <v>9</v>
      </c>
      <c r="C10" s="13" t="s">
        <v>5</v>
      </c>
    </row>
    <row r="11" spans="1:3" x14ac:dyDescent="0.4">
      <c r="A11" s="13" t="s">
        <v>6</v>
      </c>
      <c r="B11" s="13" t="s">
        <v>9</v>
      </c>
      <c r="C11" s="13" t="s">
        <v>7</v>
      </c>
    </row>
    <row r="12" spans="1:3" x14ac:dyDescent="0.4">
      <c r="A12" s="13" t="s">
        <v>6</v>
      </c>
      <c r="B12" s="13" t="s">
        <v>9</v>
      </c>
      <c r="C12" s="13" t="s">
        <v>27</v>
      </c>
    </row>
    <row r="13" spans="1:3" x14ac:dyDescent="0.4">
      <c r="A13" s="13" t="s">
        <v>6</v>
      </c>
      <c r="B13" s="13" t="s">
        <v>9</v>
      </c>
      <c r="C13" s="13" t="s">
        <v>8</v>
      </c>
    </row>
    <row r="14" spans="1:3" x14ac:dyDescent="0.4">
      <c r="A14" s="13" t="s">
        <v>6</v>
      </c>
      <c r="B14" s="13" t="s">
        <v>18</v>
      </c>
      <c r="C14" s="13" t="s">
        <v>15</v>
      </c>
    </row>
    <row r="15" spans="1:3" x14ac:dyDescent="0.4">
      <c r="A15" s="13" t="s">
        <v>6</v>
      </c>
      <c r="B15" s="13" t="s">
        <v>18</v>
      </c>
      <c r="C15" s="13" t="s">
        <v>7</v>
      </c>
    </row>
    <row r="16" spans="1:3" x14ac:dyDescent="0.4">
      <c r="A16" s="13" t="s">
        <v>6</v>
      </c>
      <c r="B16" s="13" t="s">
        <v>18</v>
      </c>
      <c r="C16" s="13" t="s">
        <v>5</v>
      </c>
    </row>
    <row r="17" spans="1:3" x14ac:dyDescent="0.4">
      <c r="A17" s="13" t="s">
        <v>6</v>
      </c>
      <c r="B17" s="13" t="s">
        <v>18</v>
      </c>
      <c r="C17" s="13" t="s">
        <v>7</v>
      </c>
    </row>
    <row r="18" spans="1:3" x14ac:dyDescent="0.4">
      <c r="A18" s="13" t="s">
        <v>6</v>
      </c>
      <c r="B18" s="13" t="s">
        <v>18</v>
      </c>
      <c r="C18" s="13" t="s">
        <v>17</v>
      </c>
    </row>
    <row r="19" spans="1:3" x14ac:dyDescent="0.4">
      <c r="A19" s="13" t="s">
        <v>6</v>
      </c>
      <c r="B19" s="13" t="s">
        <v>18</v>
      </c>
      <c r="C19" s="13" t="s">
        <v>16</v>
      </c>
    </row>
    <row r="20" spans="1:3" x14ac:dyDescent="0.4">
      <c r="A20" s="13" t="s">
        <v>6</v>
      </c>
      <c r="B20" s="13" t="s">
        <v>18</v>
      </c>
      <c r="C20" s="13" t="s">
        <v>8</v>
      </c>
    </row>
    <row r="21" spans="1:3" x14ac:dyDescent="0.4">
      <c r="A21" s="13" t="s">
        <v>11</v>
      </c>
      <c r="B21" s="13" t="s">
        <v>4</v>
      </c>
      <c r="C21" s="13" t="s">
        <v>15</v>
      </c>
    </row>
    <row r="22" spans="1:3" x14ac:dyDescent="0.4">
      <c r="A22" s="13" t="s">
        <v>11</v>
      </c>
      <c r="B22" s="13" t="s">
        <v>4</v>
      </c>
      <c r="C22" s="13" t="s">
        <v>5</v>
      </c>
    </row>
    <row r="23" spans="1:3" x14ac:dyDescent="0.4">
      <c r="A23" s="13" t="s">
        <v>11</v>
      </c>
      <c r="B23" s="13" t="s">
        <v>4</v>
      </c>
      <c r="C23" s="13" t="s">
        <v>7</v>
      </c>
    </row>
    <row r="24" spans="1:3" x14ac:dyDescent="0.4">
      <c r="A24" s="13" t="s">
        <v>11</v>
      </c>
      <c r="B24" s="13" t="s">
        <v>4</v>
      </c>
      <c r="C24" s="13" t="s">
        <v>16</v>
      </c>
    </row>
    <row r="25" spans="1:3" x14ac:dyDescent="0.4">
      <c r="A25" s="13" t="s">
        <v>11</v>
      </c>
      <c r="B25" s="13" t="s">
        <v>4</v>
      </c>
      <c r="C25" s="13" t="s">
        <v>8</v>
      </c>
    </row>
    <row r="26" spans="1:3" x14ac:dyDescent="0.4">
      <c r="A26" s="13" t="s">
        <v>11</v>
      </c>
      <c r="B26" s="13" t="s">
        <v>9</v>
      </c>
      <c r="C26" s="13" t="s">
        <v>15</v>
      </c>
    </row>
    <row r="27" spans="1:3" x14ac:dyDescent="0.4">
      <c r="A27" s="13" t="s">
        <v>11</v>
      </c>
      <c r="B27" s="13" t="s">
        <v>9</v>
      </c>
      <c r="C27" s="13" t="s">
        <v>7</v>
      </c>
    </row>
    <row r="28" spans="1:3" x14ac:dyDescent="0.4">
      <c r="A28" s="13" t="s">
        <v>11</v>
      </c>
      <c r="B28" s="13" t="s">
        <v>9</v>
      </c>
      <c r="C28" s="13" t="s">
        <v>5</v>
      </c>
    </row>
    <row r="29" spans="1:3" x14ac:dyDescent="0.4">
      <c r="A29" s="13" t="s">
        <v>11</v>
      </c>
      <c r="B29" s="13" t="s">
        <v>9</v>
      </c>
      <c r="C29" s="13" t="s">
        <v>7</v>
      </c>
    </row>
    <row r="30" spans="1:3" x14ac:dyDescent="0.4">
      <c r="A30" s="13" t="s">
        <v>11</v>
      </c>
      <c r="B30" s="13" t="s">
        <v>9</v>
      </c>
      <c r="C30" s="13" t="s">
        <v>17</v>
      </c>
    </row>
    <row r="31" spans="1:3" x14ac:dyDescent="0.4">
      <c r="A31" s="13" t="s">
        <v>11</v>
      </c>
      <c r="B31" s="13" t="s">
        <v>9</v>
      </c>
      <c r="C31" s="13" t="s">
        <v>8</v>
      </c>
    </row>
    <row r="32" spans="1:3" x14ac:dyDescent="0.4">
      <c r="A32" s="13" t="s">
        <v>11</v>
      </c>
      <c r="B32" s="13" t="s">
        <v>18</v>
      </c>
      <c r="C32" s="13" t="s">
        <v>15</v>
      </c>
    </row>
    <row r="33" spans="1:3" x14ac:dyDescent="0.4">
      <c r="A33" s="13" t="s">
        <v>11</v>
      </c>
      <c r="B33" s="13" t="s">
        <v>18</v>
      </c>
      <c r="C33" s="13" t="s">
        <v>7</v>
      </c>
    </row>
    <row r="34" spans="1:3" x14ac:dyDescent="0.4">
      <c r="A34" s="13" t="s">
        <v>11</v>
      </c>
      <c r="B34" s="13" t="s">
        <v>18</v>
      </c>
      <c r="C34" s="13" t="s">
        <v>5</v>
      </c>
    </row>
    <row r="35" spans="1:3" x14ac:dyDescent="0.4">
      <c r="A35" s="13" t="s">
        <v>11</v>
      </c>
      <c r="B35" s="13" t="s">
        <v>18</v>
      </c>
      <c r="C35" s="13" t="s">
        <v>7</v>
      </c>
    </row>
    <row r="36" spans="1:3" x14ac:dyDescent="0.4">
      <c r="A36" s="13" t="s">
        <v>11</v>
      </c>
      <c r="B36" s="13" t="s">
        <v>18</v>
      </c>
      <c r="C36" s="13" t="s">
        <v>17</v>
      </c>
    </row>
    <row r="37" spans="1:3" x14ac:dyDescent="0.4">
      <c r="A37" s="13" t="s">
        <v>11</v>
      </c>
      <c r="B37" s="13" t="s">
        <v>18</v>
      </c>
      <c r="C37" s="13" t="s">
        <v>16</v>
      </c>
    </row>
    <row r="38" spans="1:3" x14ac:dyDescent="0.4">
      <c r="A38" s="13" t="s">
        <v>11</v>
      </c>
      <c r="B38" s="13" t="s">
        <v>18</v>
      </c>
      <c r="C38" s="13" t="s">
        <v>8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A3F5-8403-40B3-9206-1F6B8734735B}">
  <sheetPr codeName="Sheet7"/>
  <dimension ref="A1:B5"/>
  <sheetViews>
    <sheetView zoomScaleNormal="100" workbookViewId="0">
      <pane xSplit="1" ySplit="1" topLeftCell="B2" activePane="bottomRight" state="frozen"/>
      <selection activeCell="B18" sqref="B18"/>
      <selection pane="topRight" activeCell="B18" sqref="B18"/>
      <selection pane="bottomLeft" activeCell="B18" sqref="B18"/>
      <selection pane="bottomRight" activeCell="B18" sqref="B18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20" customFormat="1" ht="35.25" customHeight="1" x14ac:dyDescent="0.4">
      <c r="A1" s="19" t="s">
        <v>13</v>
      </c>
      <c r="B1" s="19" t="s">
        <v>14</v>
      </c>
    </row>
    <row r="2" spans="1:2" x14ac:dyDescent="0.4">
      <c r="A2" s="23" t="s">
        <v>29</v>
      </c>
      <c r="B2" s="24" t="s">
        <v>30</v>
      </c>
    </row>
    <row r="3" spans="1:2" x14ac:dyDescent="0.4">
      <c r="A3" s="13" t="s">
        <v>4</v>
      </c>
      <c r="B3" s="13" t="s">
        <v>12</v>
      </c>
    </row>
    <row r="4" spans="1:2" x14ac:dyDescent="0.4">
      <c r="A4" s="13" t="s">
        <v>10</v>
      </c>
    </row>
    <row r="5" spans="1:2" x14ac:dyDescent="0.4">
      <c r="A5" s="13" t="s">
        <v>18</v>
      </c>
    </row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B0456-F442-4DA1-930B-469A49AB43D3}">
  <sheetPr codeName="Sheet11"/>
  <dimension ref="B1:T37"/>
  <sheetViews>
    <sheetView workbookViewId="0">
      <selection activeCell="B18" sqref="B18"/>
    </sheetView>
  </sheetViews>
  <sheetFormatPr defaultRowHeight="12" x14ac:dyDescent="0.4"/>
  <cols>
    <col min="1" max="1" width="3.125" style="13" customWidth="1"/>
    <col min="2" max="2" width="6.75" style="13" bestFit="1" customWidth="1"/>
    <col min="3" max="3" width="18.625" style="13" bestFit="1" customWidth="1"/>
    <col min="4" max="4" width="6.75" style="13" bestFit="1" customWidth="1"/>
    <col min="5" max="5" width="15" style="13" bestFit="1" customWidth="1"/>
    <col min="6" max="6" width="6.75" style="13" bestFit="1" customWidth="1"/>
    <col min="7" max="8" width="4.375" style="13" bestFit="1" customWidth="1"/>
    <col min="9" max="9" width="15" style="13" bestFit="1" customWidth="1"/>
    <col min="10" max="10" width="6.75" style="13" bestFit="1" customWidth="1"/>
    <col min="11" max="12" width="4.375" style="13" bestFit="1" customWidth="1"/>
    <col min="13" max="14" width="6.75" style="13" bestFit="1" customWidth="1"/>
    <col min="15" max="16" width="4.375" style="13" bestFit="1" customWidth="1"/>
    <col min="17" max="17" width="6.75" style="13" bestFit="1" customWidth="1"/>
    <col min="18" max="16384" width="9" style="13"/>
  </cols>
  <sheetData>
    <row r="1" spans="2:20" x14ac:dyDescent="0.4">
      <c r="E1" s="34" t="s">
        <v>46</v>
      </c>
      <c r="F1" s="34"/>
      <c r="G1" s="34"/>
      <c r="H1" s="34"/>
      <c r="I1" s="33" t="s">
        <v>49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21</v>
      </c>
      <c r="F2" s="32" t="s">
        <v>35</v>
      </c>
      <c r="G2" s="32" t="s">
        <v>47</v>
      </c>
      <c r="H2" s="32" t="s">
        <v>48</v>
      </c>
      <c r="I2" s="32" t="s">
        <v>21</v>
      </c>
      <c r="J2" s="32" t="s">
        <v>35</v>
      </c>
      <c r="K2" s="32" t="s">
        <v>47</v>
      </c>
      <c r="L2" s="32" t="s">
        <v>48</v>
      </c>
      <c r="M2" s="32" t="s">
        <v>21</v>
      </c>
      <c r="N2" s="32" t="s">
        <v>35</v>
      </c>
      <c r="O2" s="32" t="s">
        <v>47</v>
      </c>
      <c r="P2" s="32" t="s">
        <v>48</v>
      </c>
      <c r="Q2" s="32" t="s">
        <v>44</v>
      </c>
    </row>
    <row r="3" spans="2:20" x14ac:dyDescent="0.4">
      <c r="B3" s="31" t="s">
        <v>6</v>
      </c>
      <c r="C3" s="31" t="s">
        <v>15</v>
      </c>
      <c r="D3" s="28"/>
      <c r="E3" s="31" t="s">
        <v>9</v>
      </c>
      <c r="F3" s="31">
        <v>10</v>
      </c>
      <c r="G3" s="31"/>
      <c r="H3" s="31"/>
      <c r="I3" s="31" t="s">
        <v>36</v>
      </c>
      <c r="J3" s="31">
        <v>2</v>
      </c>
      <c r="K3" s="31"/>
      <c r="L3" s="31"/>
      <c r="M3" s="31"/>
      <c r="N3" s="31"/>
      <c r="O3" s="31"/>
      <c r="P3" s="31"/>
      <c r="Q3" s="31"/>
      <c r="R3" s="42" t="str">
        <f>$B$3&amp;$C$3&amp;$E$3</f>
        <v>国語ウナギの謎を追って思考・判断・表現</v>
      </c>
      <c r="S3" s="42" t="str">
        <f>$B$3&amp;$C$3&amp;$I$3</f>
        <v>国語ウナギの謎を追って知識・技能</v>
      </c>
      <c r="T3" s="42" t="str">
        <f>$B$3&amp;$C$3&amp;$M$3</f>
        <v>国語ウナギの謎を追って</v>
      </c>
    </row>
    <row r="4" spans="2:20" x14ac:dyDescent="0.4">
      <c r="B4" s="31" t="s">
        <v>6</v>
      </c>
      <c r="C4" s="31" t="s">
        <v>5</v>
      </c>
      <c r="D4" s="31"/>
      <c r="E4" s="31" t="s">
        <v>36</v>
      </c>
      <c r="F4" s="31"/>
      <c r="G4" s="31"/>
      <c r="H4" s="31"/>
      <c r="I4" s="31" t="s">
        <v>36</v>
      </c>
      <c r="J4" s="31"/>
      <c r="K4" s="31"/>
      <c r="L4" s="31"/>
      <c r="M4" s="31"/>
      <c r="N4" s="31"/>
      <c r="O4" s="31"/>
      <c r="P4" s="31"/>
      <c r="Q4" s="31"/>
      <c r="R4" s="42" t="str">
        <f>$B$4&amp;$C$4&amp;$E$4</f>
        <v>国語もしもの時に備えよう知識・技能</v>
      </c>
      <c r="S4" s="42" t="str">
        <f>$B$4&amp;$C$4&amp;$I$4</f>
        <v>国語もしもの時に備えよう知識・技能</v>
      </c>
      <c r="T4" s="42" t="str">
        <f>$B$4&amp;$C$4&amp;$M$4</f>
        <v>国語もしもの時に備えよう</v>
      </c>
    </row>
    <row r="5" spans="2:20" x14ac:dyDescent="0.4">
      <c r="B5" s="31" t="s">
        <v>6</v>
      </c>
      <c r="C5" s="31" t="s">
        <v>7</v>
      </c>
      <c r="D5" s="31"/>
      <c r="E5" s="31" t="s">
        <v>36</v>
      </c>
      <c r="F5" s="31"/>
      <c r="G5" s="31"/>
      <c r="H5" s="31"/>
      <c r="I5" s="31" t="s">
        <v>9</v>
      </c>
      <c r="J5" s="31"/>
      <c r="K5" s="31"/>
      <c r="L5" s="31"/>
      <c r="M5" s="31"/>
      <c r="N5" s="31"/>
      <c r="O5" s="31"/>
      <c r="P5" s="31"/>
      <c r="Q5" s="31"/>
      <c r="R5" s="42" t="str">
        <f>$B$5&amp;$C$5&amp;$E$5</f>
        <v>国語初雪の降る日知識・技能</v>
      </c>
      <c r="S5" s="42" t="str">
        <f>$B$5&amp;$C$5&amp;$I$5</f>
        <v>国語初雪の降る日思考・判断・表現</v>
      </c>
      <c r="T5" s="42" t="str">
        <f>$B$5&amp;$C$5&amp;$M$5</f>
        <v>国語初雪の降る日</v>
      </c>
    </row>
    <row r="6" spans="2:20" x14ac:dyDescent="0.4">
      <c r="B6" s="31" t="s">
        <v>6</v>
      </c>
      <c r="C6" s="31" t="s">
        <v>16</v>
      </c>
      <c r="D6" s="31"/>
      <c r="E6" s="31" t="s">
        <v>36</v>
      </c>
      <c r="F6" s="31"/>
      <c r="G6" s="31"/>
      <c r="H6" s="31"/>
      <c r="I6" s="31" t="s">
        <v>9</v>
      </c>
      <c r="J6" s="31"/>
      <c r="K6" s="31"/>
      <c r="L6" s="31"/>
      <c r="M6" s="31"/>
      <c r="N6" s="31"/>
      <c r="O6" s="31"/>
      <c r="P6" s="31"/>
      <c r="Q6" s="31"/>
      <c r="R6" s="42" t="str">
        <f>$B$6&amp;$C$6&amp;$E$6</f>
        <v>国語漢字の確かめ⑤知識・技能</v>
      </c>
      <c r="S6" s="42" t="str">
        <f>$B$6&amp;$C$6&amp;$I$6</f>
        <v>国語漢字の確かめ⑤思考・判断・表現</v>
      </c>
      <c r="T6" s="42" t="str">
        <f>$B$6&amp;$C$6&amp;$M$6</f>
        <v>国語漢字の確かめ⑤</v>
      </c>
    </row>
    <row r="7" spans="2:20" x14ac:dyDescent="0.4">
      <c r="B7" s="31" t="s">
        <v>6</v>
      </c>
      <c r="C7" s="31" t="s">
        <v>8</v>
      </c>
      <c r="D7" s="31"/>
      <c r="E7" s="31" t="s">
        <v>36</v>
      </c>
      <c r="F7" s="31"/>
      <c r="G7" s="31"/>
      <c r="H7" s="31"/>
      <c r="I7" s="31" t="s">
        <v>9</v>
      </c>
      <c r="J7" s="31"/>
      <c r="K7" s="31"/>
      <c r="L7" s="31"/>
      <c r="M7" s="31"/>
      <c r="N7" s="31"/>
      <c r="O7" s="31"/>
      <c r="P7" s="31"/>
      <c r="Q7" s="31"/>
      <c r="R7" s="42" t="str">
        <f>$B$7&amp;$C$7&amp;$E$7</f>
        <v>国語4年のまとめ知識・技能</v>
      </c>
      <c r="S7" s="42" t="str">
        <f>$B$7&amp;$C$7&amp;$I$7</f>
        <v>国語4年のまとめ思考・判断・表現</v>
      </c>
      <c r="T7" s="42" t="str">
        <f>$B$7&amp;$C$7&amp;$M$7</f>
        <v>国語4年のまとめ</v>
      </c>
    </row>
    <row r="8" spans="2:20" x14ac:dyDescent="0.4">
      <c r="B8" s="31" t="s">
        <v>6</v>
      </c>
      <c r="C8" s="31" t="s">
        <v>17</v>
      </c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42" t="str">
        <f>$B$8&amp;$C$8&amp;$E$8</f>
        <v>国語話すこと・聞くこと②</v>
      </c>
      <c r="S8" s="42" t="str">
        <f>$B$8&amp;$C$8&amp;$I$8</f>
        <v>国語話すこと・聞くこと②</v>
      </c>
      <c r="T8" s="42" t="str">
        <f>$B$8&amp;$C$8&amp;$M$8</f>
        <v>国語話すこと・聞くこと②</v>
      </c>
    </row>
    <row r="9" spans="2:20" x14ac:dyDescent="0.4">
      <c r="B9" s="31" t="s">
        <v>11</v>
      </c>
      <c r="C9" s="31" t="s">
        <v>15</v>
      </c>
      <c r="D9" s="31"/>
      <c r="E9" s="31" t="s">
        <v>36</v>
      </c>
      <c r="F9" s="31"/>
      <c r="G9" s="31"/>
      <c r="H9" s="31"/>
      <c r="I9" s="31" t="s">
        <v>9</v>
      </c>
      <c r="J9" s="31"/>
      <c r="K9" s="31"/>
      <c r="L9" s="31"/>
      <c r="M9" s="31"/>
      <c r="N9" s="31"/>
      <c r="O9" s="31"/>
      <c r="P9" s="31"/>
      <c r="Q9" s="31"/>
      <c r="R9" s="42" t="str">
        <f>$B$9&amp;$C$9&amp;$E$9</f>
        <v>算数ウナギの謎を追って知識・技能</v>
      </c>
      <c r="S9" s="42" t="str">
        <f>$B$9&amp;$C$9&amp;$I$9</f>
        <v>算数ウナギの謎を追って思考・判断・表現</v>
      </c>
      <c r="T9" s="42" t="str">
        <f>$B$9&amp;$C$9&amp;$M$9</f>
        <v>算数ウナギの謎を追って</v>
      </c>
    </row>
    <row r="10" spans="2:20" x14ac:dyDescent="0.4">
      <c r="B10" s="31" t="s">
        <v>11</v>
      </c>
      <c r="C10" s="31" t="s">
        <v>5</v>
      </c>
      <c r="D10" s="31"/>
      <c r="E10" s="31" t="s">
        <v>36</v>
      </c>
      <c r="F10" s="31"/>
      <c r="G10" s="31"/>
      <c r="H10" s="31"/>
      <c r="I10" s="31" t="s">
        <v>9</v>
      </c>
      <c r="J10" s="31"/>
      <c r="K10" s="31"/>
      <c r="L10" s="31"/>
      <c r="M10" s="31"/>
      <c r="N10" s="31"/>
      <c r="O10" s="31"/>
      <c r="P10" s="31"/>
      <c r="Q10" s="31"/>
      <c r="R10" s="42" t="str">
        <f>$B$10&amp;$C$10&amp;$E$10</f>
        <v>算数もしもの時に備えよう知識・技能</v>
      </c>
      <c r="S10" s="42" t="str">
        <f>$B$10&amp;$C$10&amp;$I$10</f>
        <v>算数もしもの時に備えよう思考・判断・表現</v>
      </c>
      <c r="T10" s="42" t="str">
        <f>$B$10&amp;$C$10&amp;$M$10</f>
        <v>算数もしもの時に備えよう</v>
      </c>
    </row>
    <row r="11" spans="2:20" x14ac:dyDescent="0.4">
      <c r="B11" s="31" t="s">
        <v>11</v>
      </c>
      <c r="C11" s="31" t="s">
        <v>7</v>
      </c>
      <c r="D11" s="31"/>
      <c r="E11" s="31" t="s">
        <v>36</v>
      </c>
      <c r="F11" s="31"/>
      <c r="G11" s="31"/>
      <c r="H11" s="31"/>
      <c r="I11" s="31" t="s">
        <v>9</v>
      </c>
      <c r="J11" s="31"/>
      <c r="K11" s="31"/>
      <c r="L11" s="31"/>
      <c r="M11" s="31"/>
      <c r="N11" s="31"/>
      <c r="O11" s="31"/>
      <c r="P11" s="31"/>
      <c r="Q11" s="31"/>
      <c r="R11" s="42" t="str">
        <f>$B$11&amp;$C$11&amp;$E$11</f>
        <v>算数初雪の降る日知識・技能</v>
      </c>
      <c r="S11" s="42" t="str">
        <f>$B$11&amp;$C$11&amp;$I$11</f>
        <v>算数初雪の降る日思考・判断・表現</v>
      </c>
      <c r="T11" s="42" t="str">
        <f>$B$11&amp;$C$11&amp;$M$11</f>
        <v>算数初雪の降る日</v>
      </c>
    </row>
    <row r="12" spans="2:20" x14ac:dyDescent="0.4">
      <c r="B12" s="31" t="s">
        <v>11</v>
      </c>
      <c r="C12" s="31" t="s">
        <v>16</v>
      </c>
      <c r="D12" s="31"/>
      <c r="E12" s="31" t="s">
        <v>36</v>
      </c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42" t="str">
        <f>$B$12&amp;$C$12&amp;$E$12</f>
        <v>算数漢字の確かめ⑤知識・技能</v>
      </c>
      <c r="S12" s="42" t="str">
        <f>$B$12&amp;$C$12&amp;$I$12</f>
        <v>算数漢字の確かめ⑤</v>
      </c>
      <c r="T12" s="42" t="str">
        <f>$B$12&amp;$C$12&amp;$M$12</f>
        <v>算数漢字の確かめ⑤</v>
      </c>
    </row>
    <row r="13" spans="2:20" x14ac:dyDescent="0.4">
      <c r="B13" s="31" t="s">
        <v>11</v>
      </c>
      <c r="C13" s="31" t="s">
        <v>8</v>
      </c>
      <c r="D13" s="31"/>
      <c r="E13" s="31" t="s">
        <v>36</v>
      </c>
      <c r="F13" s="31"/>
      <c r="G13" s="31"/>
      <c r="H13" s="31"/>
      <c r="I13" s="31" t="s">
        <v>9</v>
      </c>
      <c r="J13" s="31"/>
      <c r="K13" s="31"/>
      <c r="L13" s="31"/>
      <c r="M13" s="31"/>
      <c r="N13" s="31"/>
      <c r="O13" s="31"/>
      <c r="P13" s="31"/>
      <c r="Q13" s="31"/>
      <c r="R13" s="42" t="str">
        <f>$B$13&amp;$C$13&amp;$E$13</f>
        <v>算数4年のまとめ知識・技能</v>
      </c>
      <c r="S13" s="42" t="str">
        <f>$B$13&amp;$C$13&amp;$I$13</f>
        <v>算数4年のまとめ思考・判断・表現</v>
      </c>
      <c r="T13" s="42" t="str">
        <f>$B$13&amp;$C$13&amp;$M$13</f>
        <v>算数4年のまとめ</v>
      </c>
    </row>
    <row r="14" spans="2:20" x14ac:dyDescent="0.4">
      <c r="B14" s="31" t="s">
        <v>11</v>
      </c>
      <c r="C14" s="31" t="s">
        <v>17</v>
      </c>
      <c r="D14" s="31"/>
      <c r="E14" s="31" t="s">
        <v>9</v>
      </c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42" t="str">
        <f>$B$14&amp;$C$14&amp;$E$14</f>
        <v>算数話すこと・聞くこと②思考・判断・表現</v>
      </c>
      <c r="S14" s="42" t="str">
        <f>$B$14&amp;$C$14&amp;$I$14</f>
        <v>算数話すこと・聞くこと②</v>
      </c>
      <c r="T14" s="42" t="str">
        <f>$B$14&amp;$C$14&amp;$M$14</f>
        <v>算数話すこと・聞くこと②</v>
      </c>
    </row>
    <row r="15" spans="2:20" ht="18.75" x14ac:dyDescent="0.4">
      <c r="B15"/>
      <c r="C15"/>
    </row>
    <row r="16" spans="2:20" ht="18.75" x14ac:dyDescent="0.4">
      <c r="B16"/>
      <c r="C16"/>
    </row>
    <row r="17" spans="2:3" ht="18.75" x14ac:dyDescent="0.4">
      <c r="B17"/>
      <c r="C17"/>
    </row>
    <row r="18" spans="2:3" ht="18.75" x14ac:dyDescent="0.4">
      <c r="B18"/>
      <c r="C18"/>
    </row>
    <row r="19" spans="2:3" ht="18.75" x14ac:dyDescent="0.4">
      <c r="B19"/>
      <c r="C19"/>
    </row>
    <row r="20" spans="2:3" ht="18.75" x14ac:dyDescent="0.4">
      <c r="B20"/>
      <c r="C20"/>
    </row>
    <row r="21" spans="2:3" ht="18.75" x14ac:dyDescent="0.4">
      <c r="B21"/>
      <c r="C21"/>
    </row>
    <row r="22" spans="2:3" ht="18.75" x14ac:dyDescent="0.4">
      <c r="B22"/>
      <c r="C22"/>
    </row>
    <row r="23" spans="2:3" ht="18.75" x14ac:dyDescent="0.4">
      <c r="B23"/>
      <c r="C23"/>
    </row>
    <row r="24" spans="2:3" ht="18.75" x14ac:dyDescent="0.4">
      <c r="B24"/>
      <c r="C24"/>
    </row>
    <row r="25" spans="2:3" ht="18.75" x14ac:dyDescent="0.4">
      <c r="B25"/>
      <c r="C25"/>
    </row>
    <row r="26" spans="2:3" ht="18.75" x14ac:dyDescent="0.4">
      <c r="B26"/>
      <c r="C26"/>
    </row>
    <row r="27" spans="2:3" ht="18.75" x14ac:dyDescent="0.4">
      <c r="B27"/>
      <c r="C27"/>
    </row>
    <row r="28" spans="2:3" ht="18.75" x14ac:dyDescent="0.4">
      <c r="B28"/>
      <c r="C28"/>
    </row>
    <row r="29" spans="2:3" ht="18.75" x14ac:dyDescent="0.4">
      <c r="B29"/>
      <c r="C29"/>
    </row>
    <row r="30" spans="2:3" ht="18.75" x14ac:dyDescent="0.4">
      <c r="B30"/>
      <c r="C30"/>
    </row>
    <row r="31" spans="2:3" ht="18.75" x14ac:dyDescent="0.4">
      <c r="B31"/>
      <c r="C31"/>
    </row>
    <row r="32" spans="2:3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</sheetData>
  <autoFilter ref="B2:Q14" xr:uid="{7AA99C83-EB14-4B3A-A05A-DFAB4F2C1D0B}"/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5F409-09CF-457C-9E4E-8FE4ACB753CE}">
  <sheetPr codeName="Sheet13">
    <tabColor theme="3" tint="0.59999389629810485"/>
  </sheetPr>
  <dimension ref="B1:T37"/>
  <sheetViews>
    <sheetView workbookViewId="0"/>
  </sheetViews>
  <sheetFormatPr defaultRowHeight="12" x14ac:dyDescent="0.4"/>
  <cols>
    <col min="1" max="1" width="3.125" style="50" customWidth="1"/>
    <col min="2" max="2" width="6.75" style="50" bestFit="1" customWidth="1"/>
    <col min="3" max="3" width="18.625" style="50" bestFit="1" customWidth="1"/>
    <col min="4" max="4" width="6.75" style="50" bestFit="1" customWidth="1"/>
    <col min="5" max="5" width="15" style="50" bestFit="1" customWidth="1"/>
    <col min="6" max="6" width="6.75" style="50" bestFit="1" customWidth="1"/>
    <col min="7" max="8" width="4.375" style="50" bestFit="1" customWidth="1"/>
    <col min="9" max="9" width="15" style="50" bestFit="1" customWidth="1"/>
    <col min="10" max="10" width="6.75" style="50" bestFit="1" customWidth="1"/>
    <col min="11" max="12" width="4.375" style="50" bestFit="1" customWidth="1"/>
    <col min="13" max="14" width="6.75" style="50" bestFit="1" customWidth="1"/>
    <col min="15" max="16" width="4.375" style="50" bestFit="1" customWidth="1"/>
    <col min="17" max="17" width="6.75" style="50" bestFit="1" customWidth="1"/>
    <col min="18" max="16384" width="9" style="50"/>
  </cols>
  <sheetData>
    <row r="1" spans="2:20" x14ac:dyDescent="0.4">
      <c r="E1" s="34" t="s">
        <v>46</v>
      </c>
      <c r="F1" s="34"/>
      <c r="G1" s="34"/>
      <c r="H1" s="34"/>
      <c r="I1" s="33" t="s">
        <v>49</v>
      </c>
      <c r="J1" s="34"/>
      <c r="K1" s="34"/>
      <c r="L1" s="34"/>
      <c r="M1" s="33" t="s">
        <v>50</v>
      </c>
      <c r="N1" s="34"/>
      <c r="O1" s="34"/>
      <c r="P1" s="34"/>
      <c r="Q1" s="35"/>
    </row>
    <row r="2" spans="2:20" x14ac:dyDescent="0.4">
      <c r="B2" s="29" t="s">
        <v>0</v>
      </c>
      <c r="C2" s="36" t="s">
        <v>19</v>
      </c>
      <c r="D2" s="29" t="s">
        <v>45</v>
      </c>
      <c r="E2" s="37" t="s">
        <v>21</v>
      </c>
      <c r="F2" s="32" t="s">
        <v>35</v>
      </c>
      <c r="G2" s="32" t="s">
        <v>47</v>
      </c>
      <c r="H2" s="32" t="s">
        <v>48</v>
      </c>
      <c r="I2" s="32" t="s">
        <v>21</v>
      </c>
      <c r="J2" s="32" t="s">
        <v>35</v>
      </c>
      <c r="K2" s="32" t="s">
        <v>47</v>
      </c>
      <c r="L2" s="32" t="s">
        <v>48</v>
      </c>
      <c r="M2" s="32" t="s">
        <v>21</v>
      </c>
      <c r="N2" s="32" t="s">
        <v>35</v>
      </c>
      <c r="O2" s="32" t="s">
        <v>47</v>
      </c>
      <c r="P2" s="32" t="s">
        <v>48</v>
      </c>
      <c r="Q2" s="32" t="s">
        <v>44</v>
      </c>
    </row>
    <row r="3" spans="2:20" x14ac:dyDescent="0.4">
      <c r="B3" s="52" t="s">
        <v>6</v>
      </c>
      <c r="C3" s="52" t="s">
        <v>15</v>
      </c>
      <c r="D3" s="51"/>
      <c r="E3" s="52" t="s">
        <v>36</v>
      </c>
      <c r="F3" s="52">
        <v>100</v>
      </c>
      <c r="G3" s="52"/>
      <c r="H3" s="52"/>
      <c r="I3" s="52" t="s">
        <v>9</v>
      </c>
      <c r="J3" s="52">
        <v>100</v>
      </c>
      <c r="K3" s="52"/>
      <c r="L3" s="52"/>
      <c r="M3" s="52"/>
      <c r="N3" s="52"/>
      <c r="O3" s="52"/>
      <c r="P3" s="52"/>
      <c r="Q3" s="52"/>
      <c r="R3" s="54" t="str">
        <f>$B$3&amp;$C$3&amp;$E$3</f>
        <v>国語ウナギの謎を追って知識・技能</v>
      </c>
      <c r="S3" s="54" t="str">
        <f>$B$3&amp;$C$3&amp;$I$3</f>
        <v>国語ウナギの謎を追って思考・判断・表現</v>
      </c>
      <c r="T3" s="54" t="str">
        <f>$B$3&amp;$C$3&amp;$M$3</f>
        <v>国語ウナギの謎を追って</v>
      </c>
    </row>
    <row r="4" spans="2:20" x14ac:dyDescent="0.4">
      <c r="B4" s="52" t="s">
        <v>6</v>
      </c>
      <c r="C4" s="52" t="s">
        <v>5</v>
      </c>
      <c r="D4" s="52"/>
      <c r="E4" s="52" t="s">
        <v>36</v>
      </c>
      <c r="F4" s="52">
        <v>100</v>
      </c>
      <c r="G4" s="52"/>
      <c r="H4" s="52"/>
      <c r="I4" s="52" t="s">
        <v>9</v>
      </c>
      <c r="J4" s="52"/>
      <c r="K4" s="52"/>
      <c r="L4" s="52"/>
      <c r="M4" s="52"/>
      <c r="N4" s="52"/>
      <c r="O4" s="52"/>
      <c r="P4" s="52"/>
      <c r="Q4" s="52"/>
      <c r="R4" s="54" t="str">
        <f>$B$4&amp;$C$4&amp;$E$4</f>
        <v>国語もしもの時に備えよう知識・技能</v>
      </c>
      <c r="S4" s="54" t="str">
        <f>$B$4&amp;$C$4&amp;$I$4</f>
        <v>国語もしもの時に備えよう思考・判断・表現</v>
      </c>
      <c r="T4" s="54" t="str">
        <f>$B$4&amp;$C$4&amp;$M$4</f>
        <v>国語もしもの時に備えよう</v>
      </c>
    </row>
    <row r="5" spans="2:20" x14ac:dyDescent="0.4">
      <c r="B5" s="52" t="s">
        <v>6</v>
      </c>
      <c r="C5" s="52" t="s">
        <v>7</v>
      </c>
      <c r="D5" s="52"/>
      <c r="E5" s="52" t="s">
        <v>36</v>
      </c>
      <c r="F5" s="52"/>
      <c r="G5" s="52"/>
      <c r="H5" s="52"/>
      <c r="I5" s="52" t="s">
        <v>9</v>
      </c>
      <c r="J5" s="52"/>
      <c r="K5" s="52"/>
      <c r="L5" s="52"/>
      <c r="M5" s="52"/>
      <c r="N5" s="52"/>
      <c r="O5" s="52"/>
      <c r="P5" s="52"/>
      <c r="Q5" s="52"/>
      <c r="R5" s="54" t="str">
        <f>$B$5&amp;$C$5&amp;$E$5</f>
        <v>国語初雪の降る日知識・技能</v>
      </c>
      <c r="S5" s="54" t="str">
        <f>$B$5&amp;$C$5&amp;$I$5</f>
        <v>国語初雪の降る日思考・判断・表現</v>
      </c>
      <c r="T5" s="54" t="str">
        <f>$B$5&amp;$C$5&amp;$M$5</f>
        <v>国語初雪の降る日</v>
      </c>
    </row>
    <row r="6" spans="2:20" x14ac:dyDescent="0.4">
      <c r="B6" s="52" t="s">
        <v>6</v>
      </c>
      <c r="C6" s="52" t="s">
        <v>16</v>
      </c>
      <c r="D6" s="52"/>
      <c r="E6" s="52" t="s">
        <v>36</v>
      </c>
      <c r="F6" s="52"/>
      <c r="G6" s="52"/>
      <c r="H6" s="52"/>
      <c r="I6" s="52" t="s">
        <v>9</v>
      </c>
      <c r="J6" s="52"/>
      <c r="K6" s="52"/>
      <c r="L6" s="52"/>
      <c r="M6" s="52"/>
      <c r="N6" s="52"/>
      <c r="O6" s="52"/>
      <c r="P6" s="52"/>
      <c r="Q6" s="52"/>
      <c r="R6" s="54" t="str">
        <f>$B$6&amp;$C$6&amp;$E$6</f>
        <v>国語漢字の確かめ⑤知識・技能</v>
      </c>
      <c r="S6" s="54" t="str">
        <f>$B$6&amp;$C$6&amp;$I$6</f>
        <v>国語漢字の確かめ⑤思考・判断・表現</v>
      </c>
      <c r="T6" s="54" t="str">
        <f>$B$6&amp;$C$6&amp;$M$6</f>
        <v>国語漢字の確かめ⑤</v>
      </c>
    </row>
    <row r="7" spans="2:20" x14ac:dyDescent="0.4">
      <c r="B7" s="52" t="s">
        <v>6</v>
      </c>
      <c r="C7" s="52" t="s">
        <v>8</v>
      </c>
      <c r="D7" s="52"/>
      <c r="E7" s="52" t="s">
        <v>36</v>
      </c>
      <c r="F7" s="52"/>
      <c r="G7" s="52"/>
      <c r="H7" s="52"/>
      <c r="I7" s="52" t="s">
        <v>9</v>
      </c>
      <c r="J7" s="52"/>
      <c r="K7" s="52"/>
      <c r="L7" s="52"/>
      <c r="M7" s="52"/>
      <c r="N7" s="52"/>
      <c r="O7" s="52"/>
      <c r="P7" s="52"/>
      <c r="Q7" s="52"/>
      <c r="R7" s="54" t="str">
        <f>$B$7&amp;$C$7&amp;$E$7</f>
        <v>国語4年のまとめ知識・技能</v>
      </c>
      <c r="S7" s="54" t="str">
        <f>$B$7&amp;$C$7&amp;$I$7</f>
        <v>国語4年のまとめ思考・判断・表現</v>
      </c>
      <c r="T7" s="54" t="str">
        <f>$B$7&amp;$C$7&amp;$M$7</f>
        <v>国語4年のまとめ</v>
      </c>
    </row>
    <row r="8" spans="2:20" x14ac:dyDescent="0.4">
      <c r="B8" s="52" t="s">
        <v>6</v>
      </c>
      <c r="C8" s="52" t="s">
        <v>17</v>
      </c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4" t="str">
        <f>$B$8&amp;$C$8&amp;$E$8</f>
        <v>国語話すこと・聞くこと②</v>
      </c>
      <c r="S8" s="54" t="str">
        <f>$B$8&amp;$C$8&amp;$I$8</f>
        <v>国語話すこと・聞くこと②</v>
      </c>
      <c r="T8" s="54" t="str">
        <f>$B$8&amp;$C$8&amp;$M$8</f>
        <v>国語話すこと・聞くこと②</v>
      </c>
    </row>
    <row r="9" spans="2:20" x14ac:dyDescent="0.4">
      <c r="B9" s="52" t="s">
        <v>11</v>
      </c>
      <c r="C9" s="52" t="s">
        <v>15</v>
      </c>
      <c r="D9" s="52"/>
      <c r="E9" s="52" t="s">
        <v>36</v>
      </c>
      <c r="F9" s="52">
        <v>100</v>
      </c>
      <c r="G9" s="52"/>
      <c r="H9" s="52"/>
      <c r="I9" s="52" t="s">
        <v>9</v>
      </c>
      <c r="J9" s="52"/>
      <c r="K9" s="52"/>
      <c r="L9" s="52"/>
      <c r="M9" s="52"/>
      <c r="N9" s="52"/>
      <c r="O9" s="52"/>
      <c r="P9" s="52"/>
      <c r="Q9" s="52"/>
      <c r="R9" s="54" t="str">
        <f>$B$9&amp;$C$9&amp;$E$9</f>
        <v>算数ウナギの謎を追って知識・技能</v>
      </c>
      <c r="S9" s="54" t="str">
        <f>$B$9&amp;$C$9&amp;$I$9</f>
        <v>算数ウナギの謎を追って思考・判断・表現</v>
      </c>
      <c r="T9" s="54" t="str">
        <f>$B$9&amp;$C$9&amp;$M$9</f>
        <v>算数ウナギの謎を追って</v>
      </c>
    </row>
    <row r="10" spans="2:20" x14ac:dyDescent="0.4">
      <c r="B10" s="52" t="s">
        <v>11</v>
      </c>
      <c r="C10" s="52" t="s">
        <v>5</v>
      </c>
      <c r="D10" s="52"/>
      <c r="E10" s="52" t="s">
        <v>36</v>
      </c>
      <c r="F10" s="52">
        <v>100</v>
      </c>
      <c r="G10" s="52"/>
      <c r="H10" s="52"/>
      <c r="I10" s="52" t="s">
        <v>9</v>
      </c>
      <c r="J10" s="52"/>
      <c r="K10" s="52"/>
      <c r="L10" s="52"/>
      <c r="M10" s="52"/>
      <c r="N10" s="52"/>
      <c r="O10" s="52"/>
      <c r="P10" s="52"/>
      <c r="Q10" s="52"/>
      <c r="R10" s="54" t="str">
        <f>$B$10&amp;$C$10&amp;$E$10</f>
        <v>算数もしもの時に備えよう知識・技能</v>
      </c>
      <c r="S10" s="54" t="str">
        <f>$B$10&amp;$C$10&amp;$I$10</f>
        <v>算数もしもの時に備えよう思考・判断・表現</v>
      </c>
      <c r="T10" s="54" t="str">
        <f>$B$10&amp;$C$10&amp;$M$10</f>
        <v>算数もしもの時に備えよう</v>
      </c>
    </row>
    <row r="11" spans="2:20" x14ac:dyDescent="0.4">
      <c r="B11" s="52" t="s">
        <v>11</v>
      </c>
      <c r="C11" s="52" t="s">
        <v>7</v>
      </c>
      <c r="D11" s="52"/>
      <c r="E11" s="52" t="s">
        <v>36</v>
      </c>
      <c r="F11" s="52"/>
      <c r="G11" s="52"/>
      <c r="H11" s="52"/>
      <c r="I11" s="52" t="s">
        <v>9</v>
      </c>
      <c r="J11" s="52"/>
      <c r="K11" s="52"/>
      <c r="L11" s="52"/>
      <c r="M11" s="52"/>
      <c r="N11" s="52"/>
      <c r="O11" s="52"/>
      <c r="P11" s="52"/>
      <c r="Q11" s="52"/>
      <c r="R11" s="54" t="str">
        <f>$B$11&amp;$C$11&amp;$E$11</f>
        <v>算数初雪の降る日知識・技能</v>
      </c>
      <c r="S11" s="54" t="str">
        <f>$B$11&amp;$C$11&amp;$I$11</f>
        <v>算数初雪の降る日思考・判断・表現</v>
      </c>
      <c r="T11" s="54" t="str">
        <f>$B$11&amp;$C$11&amp;$M$11</f>
        <v>算数初雪の降る日</v>
      </c>
    </row>
    <row r="12" spans="2:20" x14ac:dyDescent="0.4">
      <c r="B12" s="52" t="s">
        <v>11</v>
      </c>
      <c r="C12" s="52" t="s">
        <v>16</v>
      </c>
      <c r="D12" s="52"/>
      <c r="E12" s="52" t="s">
        <v>36</v>
      </c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4" t="str">
        <f>$B$12&amp;$C$12&amp;$E$12</f>
        <v>算数漢字の確かめ⑤知識・技能</v>
      </c>
      <c r="S12" s="54" t="str">
        <f>$B$12&amp;$C$12&amp;$I$12</f>
        <v>算数漢字の確かめ⑤</v>
      </c>
      <c r="T12" s="54" t="str">
        <f>$B$12&amp;$C$12&amp;$M$12</f>
        <v>算数漢字の確かめ⑤</v>
      </c>
    </row>
    <row r="13" spans="2:20" x14ac:dyDescent="0.4">
      <c r="B13" s="52" t="s">
        <v>11</v>
      </c>
      <c r="C13" s="52" t="s">
        <v>8</v>
      </c>
      <c r="D13" s="52"/>
      <c r="E13" s="52" t="s">
        <v>36</v>
      </c>
      <c r="F13" s="52"/>
      <c r="G13" s="52"/>
      <c r="H13" s="52"/>
      <c r="I13" s="52" t="s">
        <v>9</v>
      </c>
      <c r="J13" s="52"/>
      <c r="K13" s="52"/>
      <c r="L13" s="52"/>
      <c r="M13" s="52"/>
      <c r="N13" s="52"/>
      <c r="O13" s="52"/>
      <c r="P13" s="52"/>
      <c r="Q13" s="52"/>
      <c r="R13" s="54" t="str">
        <f>$B$13&amp;$C$13&amp;$E$13</f>
        <v>算数4年のまとめ知識・技能</v>
      </c>
      <c r="S13" s="54" t="str">
        <f>$B$13&amp;$C$13&amp;$I$13</f>
        <v>算数4年のまとめ思考・判断・表現</v>
      </c>
      <c r="T13" s="54" t="str">
        <f>$B$13&amp;$C$13&amp;$M$13</f>
        <v>算数4年のまとめ</v>
      </c>
    </row>
    <row r="14" spans="2:20" x14ac:dyDescent="0.4">
      <c r="B14" s="52" t="s">
        <v>11</v>
      </c>
      <c r="C14" s="52" t="s">
        <v>17</v>
      </c>
      <c r="D14" s="52"/>
      <c r="E14" s="52" t="s">
        <v>9</v>
      </c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4" t="str">
        <f>$B$14&amp;$C$14&amp;$E$14</f>
        <v>算数話すこと・聞くこと②思考・判断・表現</v>
      </c>
      <c r="S14" s="54" t="str">
        <f>$B$14&amp;$C$14&amp;$I$14</f>
        <v>算数話すこと・聞くこと②</v>
      </c>
      <c r="T14" s="54" t="str">
        <f>$B$14&amp;$C$14&amp;$M$14</f>
        <v>算数話すこと・聞くこと②</v>
      </c>
    </row>
    <row r="15" spans="2:20" ht="18.75" x14ac:dyDescent="0.4">
      <c r="B15"/>
      <c r="C15"/>
    </row>
    <row r="16" spans="2:20" ht="18.75" x14ac:dyDescent="0.4">
      <c r="B16"/>
      <c r="C16"/>
    </row>
    <row r="17" spans="2:3" ht="18.75" x14ac:dyDescent="0.4">
      <c r="B17"/>
      <c r="C17"/>
    </row>
    <row r="18" spans="2:3" ht="18.75" x14ac:dyDescent="0.4">
      <c r="B18"/>
      <c r="C18"/>
    </row>
    <row r="19" spans="2:3" ht="18.75" x14ac:dyDescent="0.4">
      <c r="B19"/>
      <c r="C19"/>
    </row>
    <row r="20" spans="2:3" ht="18.75" x14ac:dyDescent="0.4">
      <c r="B20"/>
      <c r="C20"/>
    </row>
    <row r="21" spans="2:3" ht="18.75" x14ac:dyDescent="0.4">
      <c r="B21"/>
      <c r="C21"/>
    </row>
    <row r="22" spans="2:3" ht="18.75" x14ac:dyDescent="0.4">
      <c r="B22"/>
      <c r="C22"/>
    </row>
    <row r="23" spans="2:3" ht="18.75" x14ac:dyDescent="0.4">
      <c r="B23"/>
      <c r="C23"/>
    </row>
    <row r="24" spans="2:3" ht="18.75" x14ac:dyDescent="0.4">
      <c r="B24"/>
      <c r="C24"/>
    </row>
    <row r="25" spans="2:3" ht="18.75" x14ac:dyDescent="0.4">
      <c r="B25"/>
      <c r="C25"/>
    </row>
    <row r="26" spans="2:3" ht="18.75" x14ac:dyDescent="0.4">
      <c r="B26"/>
      <c r="C26"/>
    </row>
    <row r="27" spans="2:3" ht="18.75" x14ac:dyDescent="0.4">
      <c r="B27"/>
      <c r="C27"/>
    </row>
    <row r="28" spans="2:3" ht="18.75" x14ac:dyDescent="0.4">
      <c r="B28"/>
      <c r="C28"/>
    </row>
    <row r="29" spans="2:3" ht="18.75" x14ac:dyDescent="0.4">
      <c r="B29"/>
      <c r="C29"/>
    </row>
    <row r="30" spans="2:3" ht="18.75" x14ac:dyDescent="0.4">
      <c r="B30"/>
      <c r="C30"/>
    </row>
    <row r="31" spans="2:3" ht="18.75" x14ac:dyDescent="0.4">
      <c r="B31"/>
      <c r="C31"/>
    </row>
    <row r="32" spans="2:3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</sheetData>
  <autoFilter ref="B2:Q14" xr:uid="{8EE5F409-09CF-457C-9E4E-8FE4ACB753CE}"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6F5B5-9D03-4226-B2FA-05E013C3C071}">
  <sheetPr codeName="Sheet15">
    <tabColor theme="3" tint="0.59999389629810485"/>
  </sheetPr>
  <dimension ref="A1:F11"/>
  <sheetViews>
    <sheetView workbookViewId="0"/>
  </sheetViews>
  <sheetFormatPr defaultRowHeight="12" x14ac:dyDescent="0.4"/>
  <cols>
    <col min="1" max="1" width="4.75" style="50" bestFit="1" customWidth="1"/>
    <col min="2" max="2" width="24" style="50" bestFit="1" customWidth="1"/>
    <col min="3" max="5" width="7.375" style="50" bestFit="1" customWidth="1"/>
    <col min="6" max="6" width="27.625" style="50" bestFit="1" customWidth="1"/>
    <col min="7" max="16384" width="9" style="50"/>
  </cols>
  <sheetData>
    <row r="1" spans="1:6" x14ac:dyDescent="0.4">
      <c r="C1" s="58" t="s">
        <v>63</v>
      </c>
      <c r="D1" s="58"/>
      <c r="E1" s="58"/>
    </row>
    <row r="2" spans="1:6" ht="24" x14ac:dyDescent="0.4">
      <c r="B2" s="56" t="s">
        <v>61</v>
      </c>
      <c r="C2" s="57" t="s">
        <v>64</v>
      </c>
      <c r="D2" s="57" t="s">
        <v>65</v>
      </c>
      <c r="E2" s="57" t="s">
        <v>66</v>
      </c>
    </row>
    <row r="3" spans="1:6" x14ac:dyDescent="0.4">
      <c r="A3" s="50" t="s">
        <v>62</v>
      </c>
      <c r="B3" s="50" t="s">
        <v>60</v>
      </c>
      <c r="C3" s="50">
        <v>95</v>
      </c>
      <c r="D3" s="50">
        <v>65</v>
      </c>
      <c r="E3" s="50">
        <v>65</v>
      </c>
      <c r="F3" s="50" t="str">
        <f>$A$3&amp;$B$3</f>
        <v>国語知識・技能</v>
      </c>
    </row>
    <row r="4" spans="1:6" x14ac:dyDescent="0.4">
      <c r="A4" s="50" t="s">
        <v>62</v>
      </c>
      <c r="B4" s="50" t="s">
        <v>58</v>
      </c>
      <c r="F4" s="50" t="str">
        <f>$A$4&amp;$B$4</f>
        <v>国語思考・判断・表現</v>
      </c>
    </row>
    <row r="5" spans="1:6" x14ac:dyDescent="0.4">
      <c r="A5" s="50" t="s">
        <v>62</v>
      </c>
      <c r="B5" s="50" t="s">
        <v>59</v>
      </c>
      <c r="F5" s="50" t="str">
        <f>$A$5&amp;$B$5</f>
        <v>国語主体的に学習に取り組む態度</v>
      </c>
    </row>
    <row r="6" spans="1:6" x14ac:dyDescent="0.4">
      <c r="A6" s="50" t="s">
        <v>68</v>
      </c>
      <c r="B6" s="50" t="s">
        <v>60</v>
      </c>
      <c r="C6" s="50">
        <v>95</v>
      </c>
      <c r="D6" s="50">
        <v>65</v>
      </c>
      <c r="E6" s="50">
        <v>65</v>
      </c>
      <c r="F6" s="50" t="str">
        <f>$A$6&amp;$B$6</f>
        <v>算数知識・技能</v>
      </c>
    </row>
    <row r="7" spans="1:6" x14ac:dyDescent="0.4">
      <c r="A7" s="50" t="s">
        <v>68</v>
      </c>
      <c r="B7" s="50" t="s">
        <v>58</v>
      </c>
      <c r="F7" s="50" t="str">
        <f>$A$7&amp;$B$7</f>
        <v>算数思考・判断・表現</v>
      </c>
    </row>
    <row r="8" spans="1:6" x14ac:dyDescent="0.4">
      <c r="A8" s="50" t="s">
        <v>68</v>
      </c>
      <c r="B8" s="50" t="s">
        <v>59</v>
      </c>
      <c r="F8" s="50" t="str">
        <f>$A$8&amp;$B$8</f>
        <v>算数主体的に学習に取り組む態度</v>
      </c>
    </row>
    <row r="9" spans="1:6" x14ac:dyDescent="0.4">
      <c r="A9" s="50" t="s">
        <v>69</v>
      </c>
      <c r="B9" s="50" t="s">
        <v>60</v>
      </c>
      <c r="F9" s="50" t="str">
        <f>$A$9&amp;$B$9</f>
        <v>理科知識・技能</v>
      </c>
    </row>
    <row r="10" spans="1:6" x14ac:dyDescent="0.4">
      <c r="A10" s="50" t="s">
        <v>69</v>
      </c>
      <c r="B10" s="50" t="s">
        <v>58</v>
      </c>
      <c r="F10" s="50" t="str">
        <f>$A$10&amp;$B$10</f>
        <v>理科思考・判断・表現</v>
      </c>
    </row>
    <row r="11" spans="1:6" x14ac:dyDescent="0.4">
      <c r="A11" s="50" t="s">
        <v>69</v>
      </c>
      <c r="B11" s="50" t="s">
        <v>59</v>
      </c>
      <c r="F11" s="50" t="str">
        <f>$A$11&amp;$B$11</f>
        <v>理科主体的に学習に取り組む態度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84AB5-84D6-4718-A319-CD603538B9F1}">
  <sheetPr codeName="Sheet10"/>
  <dimension ref="A1:AF37"/>
  <sheetViews>
    <sheetView workbookViewId="0">
      <pane xSplit="2" ySplit="4" topLeftCell="C5" activePane="bottomRight" state="frozen"/>
      <selection activeCell="K5" sqref="K5"/>
      <selection pane="topRight" activeCell="K5" sqref="K5"/>
      <selection pane="bottomLeft" activeCell="K5" sqref="K5"/>
      <selection pane="bottomRight" activeCell="K5" sqref="K5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2" x14ac:dyDescent="0.4">
      <c r="B1" s="33" t="s">
        <v>21</v>
      </c>
      <c r="C1" s="47" t="s">
        <v>23</v>
      </c>
      <c r="D1" s="48"/>
      <c r="E1" s="49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6"/>
      <c r="AA1" s="26"/>
      <c r="AB1" s="26"/>
      <c r="AC1" s="26"/>
      <c r="AD1" s="26"/>
      <c r="AE1" s="26"/>
      <c r="AF1" s="27"/>
    </row>
    <row r="2" spans="1:32" ht="121.5" x14ac:dyDescent="0.4">
      <c r="B2" s="38" t="s">
        <v>22</v>
      </c>
      <c r="C2" s="46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6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27</v>
      </c>
      <c r="S2" s="39" t="s">
        <v>42</v>
      </c>
      <c r="T2" s="46" t="s">
        <v>37</v>
      </c>
      <c r="U2" s="39" t="s">
        <v>38</v>
      </c>
      <c r="V2" s="39" t="s">
        <v>39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43</v>
      </c>
      <c r="AB2" s="39" t="s">
        <v>27</v>
      </c>
      <c r="AC2" s="39" t="s">
        <v>42</v>
      </c>
      <c r="AD2" s="46" t="s">
        <v>37</v>
      </c>
      <c r="AE2" s="39" t="s">
        <v>38</v>
      </c>
      <c r="AF2" s="39" t="s">
        <v>39</v>
      </c>
    </row>
    <row r="3" spans="1:32" x14ac:dyDescent="0.4">
      <c r="A3" s="53"/>
      <c r="B3" s="30" t="s">
        <v>51</v>
      </c>
      <c r="C3" s="35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</row>
    <row r="4" spans="1:32" x14ac:dyDescent="0.4">
      <c r="A4" s="53"/>
      <c r="B4" s="40" t="s">
        <v>52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</row>
    <row r="5" spans="1:32" x14ac:dyDescent="0.4">
      <c r="A5" s="44">
        <v>1</v>
      </c>
      <c r="B5" s="45" t="s">
        <v>2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</row>
    <row r="6" spans="1:32" x14ac:dyDescent="0.4">
      <c r="A6" s="51">
        <v>2</v>
      </c>
      <c r="B6" s="52" t="s">
        <v>2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</row>
    <row r="7" spans="1:32" x14ac:dyDescent="0.4">
      <c r="A7" s="44">
        <v>3</v>
      </c>
      <c r="B7" s="44" t="s">
        <v>2</v>
      </c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</row>
    <row r="8" spans="1:32" x14ac:dyDescent="0.4">
      <c r="A8" s="52">
        <v>4</v>
      </c>
      <c r="B8" s="52" t="s">
        <v>2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</row>
    <row r="9" spans="1:32" x14ac:dyDescent="0.4">
      <c r="A9" s="44">
        <v>5</v>
      </c>
      <c r="B9" s="44" t="s">
        <v>2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2" x14ac:dyDescent="0.4">
      <c r="A10" s="52">
        <v>6</v>
      </c>
      <c r="B10" s="52" t="s">
        <v>2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2" x14ac:dyDescent="0.4">
      <c r="A11" s="44">
        <v>7</v>
      </c>
      <c r="B11" s="44" t="s">
        <v>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2" x14ac:dyDescent="0.4">
      <c r="A12" s="52">
        <v>8</v>
      </c>
      <c r="B12" s="52" t="s">
        <v>2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</row>
    <row r="13" spans="1:32" x14ac:dyDescent="0.4">
      <c r="A13" s="44">
        <v>9</v>
      </c>
      <c r="B13" s="44" t="s">
        <v>2</v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2" x14ac:dyDescent="0.4">
      <c r="A14" s="52">
        <v>10</v>
      </c>
      <c r="B14" s="52" t="s">
        <v>2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</row>
    <row r="15" spans="1:32" x14ac:dyDescent="0.4">
      <c r="A15" s="44">
        <v>11</v>
      </c>
      <c r="B15" s="44" t="s">
        <v>2</v>
      </c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2" x14ac:dyDescent="0.4">
      <c r="A16" s="52">
        <v>12</v>
      </c>
      <c r="B16" s="52" t="s">
        <v>2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</row>
    <row r="17" spans="1:32" x14ac:dyDescent="0.4">
      <c r="A17" s="44">
        <v>13</v>
      </c>
      <c r="B17" s="44" t="s">
        <v>2</v>
      </c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x14ac:dyDescent="0.4">
      <c r="A18" s="52">
        <v>14</v>
      </c>
      <c r="B18" s="52" t="s">
        <v>2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</row>
    <row r="19" spans="1:32" x14ac:dyDescent="0.4">
      <c r="A19" s="44">
        <v>14</v>
      </c>
      <c r="B19" s="44" t="s">
        <v>2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x14ac:dyDescent="0.4">
      <c r="A20" s="52">
        <v>14</v>
      </c>
      <c r="B20" s="52" t="s">
        <v>2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</row>
    <row r="21" spans="1:32" x14ac:dyDescent="0.4">
      <c r="A21" s="44">
        <v>14</v>
      </c>
      <c r="B21" s="44" t="s">
        <v>2</v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x14ac:dyDescent="0.4">
      <c r="A22" s="52">
        <v>14</v>
      </c>
      <c r="B22" s="52" t="s">
        <v>2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</row>
    <row r="23" spans="1:32" x14ac:dyDescent="0.4">
      <c r="A23" s="44">
        <v>14</v>
      </c>
      <c r="B23" s="44" t="s">
        <v>2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x14ac:dyDescent="0.4">
      <c r="A24" s="52">
        <v>14</v>
      </c>
      <c r="B24" s="52" t="s">
        <v>2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</row>
    <row r="25" spans="1:32" x14ac:dyDescent="0.4">
      <c r="A25" s="44">
        <v>14</v>
      </c>
      <c r="B25" s="44" t="s">
        <v>2</v>
      </c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4">
      <c r="A26" s="52">
        <v>14</v>
      </c>
      <c r="B26" s="52" t="s">
        <v>2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</row>
    <row r="27" spans="1:32" x14ac:dyDescent="0.4">
      <c r="A27" s="44">
        <v>14</v>
      </c>
      <c r="B27" s="44" t="s">
        <v>2</v>
      </c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x14ac:dyDescent="0.4">
      <c r="A28" s="52">
        <v>14</v>
      </c>
      <c r="B28" s="52" t="s">
        <v>2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</row>
    <row r="29" spans="1:32" x14ac:dyDescent="0.4">
      <c r="A29" s="44">
        <v>14</v>
      </c>
      <c r="B29" s="44" t="s">
        <v>2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x14ac:dyDescent="0.4">
      <c r="A30" s="52">
        <v>14</v>
      </c>
      <c r="B30" s="52" t="s">
        <v>2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</row>
    <row r="31" spans="1:32" x14ac:dyDescent="0.4">
      <c r="A31" s="44">
        <v>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x14ac:dyDescent="0.4">
      <c r="A32" s="52">
        <v>14</v>
      </c>
      <c r="B32" s="52" t="s">
        <v>2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</row>
    <row r="33" spans="1:32" x14ac:dyDescent="0.4">
      <c r="A33" s="44">
        <v>14</v>
      </c>
      <c r="B33" s="44" t="s">
        <v>2</v>
      </c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x14ac:dyDescent="0.4">
      <c r="A34" s="52">
        <v>14</v>
      </c>
      <c r="B34" s="52" t="s">
        <v>2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</row>
    <row r="35" spans="1:32" x14ac:dyDescent="0.4">
      <c r="A35" s="44">
        <v>14</v>
      </c>
      <c r="B35" s="44" t="s">
        <v>2</v>
      </c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x14ac:dyDescent="0.4">
      <c r="A36" s="52">
        <v>14</v>
      </c>
      <c r="B36" s="43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</row>
    <row r="37" spans="1:32" x14ac:dyDescent="0.4">
      <c r="A37" s="44">
        <v>14</v>
      </c>
      <c r="B37" s="44" t="s">
        <v>2</v>
      </c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</sheetData>
  <mergeCells count="1">
    <mergeCell ref="C1:E1"/>
  </mergeCells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E686-4232-4A62-AABA-2B24B75FBB9D}">
  <sheetPr codeName="Sheet12"/>
  <dimension ref="A1:AH37"/>
  <sheetViews>
    <sheetView tabSelected="1" workbookViewId="0">
      <pane xSplit="2" ySplit="4" topLeftCell="C5" activePane="bottomRight" state="frozen"/>
      <selection activeCell="K5" sqref="K5"/>
      <selection pane="topRight" activeCell="K5" sqref="K5"/>
      <selection pane="bottomLeft" activeCell="K5" sqref="K5"/>
      <selection pane="bottomRight" activeCell="AI22" sqref="AI22"/>
    </sheetView>
  </sheetViews>
  <sheetFormatPr defaultRowHeight="12" x14ac:dyDescent="0.4"/>
  <cols>
    <col min="1" max="2" width="9" style="13"/>
    <col min="3" max="32" width="4.375" style="13" customWidth="1"/>
    <col min="33" max="16384" width="9" style="13"/>
  </cols>
  <sheetData>
    <row r="1" spans="1:34" x14ac:dyDescent="0.4">
      <c r="B1" s="33" t="s">
        <v>21</v>
      </c>
      <c r="C1" s="47" t="s">
        <v>23</v>
      </c>
      <c r="D1" s="48"/>
      <c r="E1" s="49"/>
      <c r="F1" s="26" t="s">
        <v>36</v>
      </c>
      <c r="G1" s="26"/>
      <c r="H1" s="26"/>
      <c r="I1" s="26"/>
      <c r="J1" s="26"/>
      <c r="K1" s="26"/>
      <c r="L1" s="26"/>
      <c r="M1" s="27"/>
      <c r="N1" s="26" t="s">
        <v>9</v>
      </c>
      <c r="O1" s="26"/>
      <c r="P1" s="26"/>
      <c r="Q1" s="26"/>
      <c r="R1" s="26"/>
      <c r="S1" s="26"/>
      <c r="T1" s="26"/>
      <c r="U1" s="26"/>
      <c r="V1" s="27"/>
      <c r="W1" s="26" t="s">
        <v>40</v>
      </c>
      <c r="X1" s="26"/>
      <c r="Y1" s="26"/>
      <c r="Z1" s="26"/>
      <c r="AA1" s="26"/>
      <c r="AB1" s="26"/>
      <c r="AC1" s="26"/>
      <c r="AD1" s="26"/>
      <c r="AE1" s="26"/>
      <c r="AF1" s="27"/>
    </row>
    <row r="2" spans="1:34" ht="121.5" x14ac:dyDescent="0.4">
      <c r="B2" s="38" t="s">
        <v>22</v>
      </c>
      <c r="C2" s="46" t="s">
        <v>24</v>
      </c>
      <c r="D2" s="39" t="s">
        <v>25</v>
      </c>
      <c r="E2" s="39" t="s">
        <v>26</v>
      </c>
      <c r="F2" s="39" t="s">
        <v>41</v>
      </c>
      <c r="G2" s="39" t="s">
        <v>32</v>
      </c>
      <c r="H2" s="39" t="s">
        <v>31</v>
      </c>
      <c r="I2" s="39" t="s">
        <v>27</v>
      </c>
      <c r="J2" s="39" t="s">
        <v>42</v>
      </c>
      <c r="K2" s="46" t="s">
        <v>37</v>
      </c>
      <c r="L2" s="39" t="s">
        <v>38</v>
      </c>
      <c r="M2" s="39" t="s">
        <v>39</v>
      </c>
      <c r="N2" s="39" t="s">
        <v>41</v>
      </c>
      <c r="O2" s="39" t="s">
        <v>31</v>
      </c>
      <c r="P2" s="39" t="s">
        <v>32</v>
      </c>
      <c r="Q2" s="39" t="s">
        <v>31</v>
      </c>
      <c r="R2" s="39" t="s">
        <v>43</v>
      </c>
      <c r="S2" s="39" t="s">
        <v>42</v>
      </c>
      <c r="T2" s="46" t="s">
        <v>37</v>
      </c>
      <c r="U2" s="39" t="s">
        <v>38</v>
      </c>
      <c r="V2" s="39" t="s">
        <v>39</v>
      </c>
      <c r="W2" s="39" t="s">
        <v>41</v>
      </c>
      <c r="X2" s="39" t="s">
        <v>31</v>
      </c>
      <c r="Y2" s="39" t="s">
        <v>32</v>
      </c>
      <c r="Z2" s="39" t="s">
        <v>31</v>
      </c>
      <c r="AA2" s="39" t="s">
        <v>43</v>
      </c>
      <c r="AB2" s="39" t="s">
        <v>27</v>
      </c>
      <c r="AC2" s="39" t="s">
        <v>42</v>
      </c>
      <c r="AD2" s="46" t="s">
        <v>37</v>
      </c>
      <c r="AE2" s="39" t="s">
        <v>38</v>
      </c>
      <c r="AF2" s="39" t="s">
        <v>39</v>
      </c>
    </row>
    <row r="3" spans="1:34" x14ac:dyDescent="0.4">
      <c r="A3" s="53"/>
      <c r="B3" s="30" t="s">
        <v>51</v>
      </c>
      <c r="C3" s="35"/>
      <c r="D3" s="30"/>
      <c r="E3" s="30"/>
      <c r="F3" s="30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S$3:$T$100000,採点基準_単元別!$N$3:$N$100000,"見つかりません")))</f>
        <v>100</v>
      </c>
      <c r="G3" s="30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S$3:$T$100000,採点基準_単元別!$N$3:$N$100000,"見つかりません")))</f>
        <v>100</v>
      </c>
      <c r="H3" s="30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S$3:$T$100000,採点基準_単元別!$N$3:$N$100000,"見つかりません")))</f>
        <v>0</v>
      </c>
      <c r="I3" s="30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S$3:$T$100000,採点基準_単元別!$N$3:$N$100000,"見つかりません")))</f>
        <v>0</v>
      </c>
      <c r="J3" s="30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S$3:$T$100000,採点基準_単元別!$N$3:$N$100000,"見つかりません")))</f>
        <v>0</v>
      </c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</row>
    <row r="4" spans="1:34" x14ac:dyDescent="0.4">
      <c r="A4" s="53"/>
      <c r="B4" s="40" t="s">
        <v>52</v>
      </c>
      <c r="C4" s="41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</row>
    <row r="5" spans="1:34" x14ac:dyDescent="0.4">
      <c r="A5" s="44">
        <v>1</v>
      </c>
      <c r="B5" s="45" t="s">
        <v>2</v>
      </c>
      <c r="C5" s="44"/>
      <c r="D5" s="44"/>
      <c r="E5" s="44"/>
      <c r="F5" s="44">
        <v>85</v>
      </c>
      <c r="G5" s="44">
        <v>100</v>
      </c>
      <c r="H5" s="44"/>
      <c r="I5" s="44"/>
      <c r="J5" s="44"/>
      <c r="K5" s="44">
        <f>SUM($F$5:$J$5)</f>
        <v>185</v>
      </c>
      <c r="L5" s="44">
        <f ca="1">ROUNDDOWN($K$5/ (IF($F$5= "",0,$F$3)+IF($G$5= "",0,$G$3)+IF($H$5= "",0,$H$3)+IF($I$5= "",0,$I$3)+IF($J$5= "",0,$J$3))*100,0)</f>
        <v>92</v>
      </c>
      <c r="M5" s="44" t="str" cm="1">
        <f t="array" aca="1" ref="M5" ca="1">IF(L5&gt;=INDEX(採点基準_観点別!$C$3:$C$10000,_xlfn.XMATCH(MID(CELL("filename",$A$1),FIND("]",CELL("filename",$A$1))+1,31)&amp;$F$1,採点基準_観点別!F3:F11),0),"A",IF(L5&gt;=INDEX(採点基準_観点別!$D$3:$D$10000,_xlfn.XMATCH(MID(CELL("filename",$A$1),FIND("]",CELL("filename",$A$1))+1,31)&amp;$F$1,採点基準_観点別!F3:F11),0),"B","C"))</f>
        <v>B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H5" s="13" cm="1">
        <f t="array" aca="1" ref="AH5" ca="1">INDEX(採点基準_観点別!$C$3:$C$10000,_xlfn.XMATCH(MID(CELL("filename",$A$1),FIND("]",CELL("filename",$A$1))+1,31)&amp;$F$1,採点基準_観点別!F3:F11),0)</f>
        <v>95</v>
      </c>
    </row>
    <row r="6" spans="1:34" x14ac:dyDescent="0.4">
      <c r="A6" s="51">
        <v>2</v>
      </c>
      <c r="B6" s="52" t="s">
        <v>2</v>
      </c>
      <c r="C6" s="31"/>
      <c r="D6" s="31"/>
      <c r="E6" s="31"/>
      <c r="F6" s="31"/>
      <c r="G6" s="31"/>
      <c r="H6" s="31"/>
      <c r="I6" s="31"/>
      <c r="J6" s="31"/>
      <c r="K6" s="31"/>
      <c r="L6" s="44">
        <f ca="1">ROUNDDOWN($K$5/ (IF($F$5= "",0,$F$3)+IF($G$5= "",0,$G$3)+IF($H$5= "",0,$H$3)+IF($I$5= "",0,$I$3)+IF($J$5= "",0,$J$3))*100,0)</f>
        <v>92</v>
      </c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</row>
    <row r="7" spans="1:34" x14ac:dyDescent="0.4">
      <c r="A7" s="44">
        <v>3</v>
      </c>
      <c r="B7" s="44" t="s">
        <v>2</v>
      </c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</row>
    <row r="8" spans="1:34" x14ac:dyDescent="0.4">
      <c r="A8" s="52">
        <v>4</v>
      </c>
      <c r="B8" s="52" t="s">
        <v>2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</row>
    <row r="9" spans="1:34" x14ac:dyDescent="0.4">
      <c r="A9" s="44">
        <v>5</v>
      </c>
      <c r="B9" s="44" t="s">
        <v>2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</row>
    <row r="10" spans="1:34" x14ac:dyDescent="0.4">
      <c r="A10" s="52">
        <v>6</v>
      </c>
      <c r="B10" s="52" t="s">
        <v>2</v>
      </c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</row>
    <row r="11" spans="1:34" x14ac:dyDescent="0.4">
      <c r="A11" s="44">
        <v>7</v>
      </c>
      <c r="B11" s="44" t="s">
        <v>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</row>
    <row r="12" spans="1:34" x14ac:dyDescent="0.4">
      <c r="A12" s="52">
        <v>8</v>
      </c>
      <c r="B12" s="52" t="s">
        <v>2</v>
      </c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</row>
    <row r="13" spans="1:34" x14ac:dyDescent="0.4">
      <c r="A13" s="44">
        <v>9</v>
      </c>
      <c r="B13" s="44" t="s">
        <v>2</v>
      </c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</row>
    <row r="14" spans="1:34" x14ac:dyDescent="0.4">
      <c r="A14" s="52">
        <v>10</v>
      </c>
      <c r="B14" s="52" t="s">
        <v>2</v>
      </c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</row>
    <row r="15" spans="1:34" x14ac:dyDescent="0.4">
      <c r="A15" s="44">
        <v>11</v>
      </c>
      <c r="B15" s="44" t="s">
        <v>2</v>
      </c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</row>
    <row r="16" spans="1:34" x14ac:dyDescent="0.4">
      <c r="A16" s="52">
        <v>12</v>
      </c>
      <c r="B16" s="52" t="s">
        <v>2</v>
      </c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</row>
    <row r="17" spans="1:32" x14ac:dyDescent="0.4">
      <c r="A17" s="44">
        <v>13</v>
      </c>
      <c r="B17" s="44" t="s">
        <v>2</v>
      </c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</row>
    <row r="18" spans="1:32" x14ac:dyDescent="0.4">
      <c r="A18" s="52">
        <v>14</v>
      </c>
      <c r="B18" s="52" t="s">
        <v>2</v>
      </c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</row>
    <row r="19" spans="1:32" x14ac:dyDescent="0.4">
      <c r="A19" s="44">
        <v>14</v>
      </c>
      <c r="B19" s="44" t="s">
        <v>2</v>
      </c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</row>
    <row r="20" spans="1:32" x14ac:dyDescent="0.4">
      <c r="A20" s="52">
        <v>14</v>
      </c>
      <c r="B20" s="52" t="s">
        <v>2</v>
      </c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</row>
    <row r="21" spans="1:32" x14ac:dyDescent="0.4">
      <c r="A21" s="44">
        <v>14</v>
      </c>
      <c r="B21" s="44" t="s">
        <v>2</v>
      </c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</row>
    <row r="22" spans="1:32" x14ac:dyDescent="0.4">
      <c r="A22" s="52">
        <v>14</v>
      </c>
      <c r="B22" s="52" t="s">
        <v>2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</row>
    <row r="23" spans="1:32" x14ac:dyDescent="0.4">
      <c r="A23" s="44">
        <v>14</v>
      </c>
      <c r="B23" s="44" t="s">
        <v>2</v>
      </c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</row>
    <row r="24" spans="1:32" x14ac:dyDescent="0.4">
      <c r="A24" s="52">
        <v>14</v>
      </c>
      <c r="B24" s="52" t="s">
        <v>2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</row>
    <row r="25" spans="1:32" x14ac:dyDescent="0.4">
      <c r="A25" s="44">
        <v>14</v>
      </c>
      <c r="B25" s="44" t="s">
        <v>2</v>
      </c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4">
      <c r="A26" s="52">
        <v>14</v>
      </c>
      <c r="B26" s="52" t="s">
        <v>2</v>
      </c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</row>
    <row r="27" spans="1:32" x14ac:dyDescent="0.4">
      <c r="A27" s="44">
        <v>14</v>
      </c>
      <c r="B27" s="44" t="s">
        <v>2</v>
      </c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</row>
    <row r="28" spans="1:32" x14ac:dyDescent="0.4">
      <c r="A28" s="52">
        <v>14</v>
      </c>
      <c r="B28" s="52" t="s">
        <v>2</v>
      </c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</row>
    <row r="29" spans="1:32" x14ac:dyDescent="0.4">
      <c r="A29" s="44">
        <v>14</v>
      </c>
      <c r="B29" s="44" t="s">
        <v>2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</row>
    <row r="30" spans="1:32" x14ac:dyDescent="0.4">
      <c r="A30" s="52">
        <v>14</v>
      </c>
      <c r="B30" s="52" t="s">
        <v>2</v>
      </c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</row>
    <row r="31" spans="1:32" x14ac:dyDescent="0.4">
      <c r="A31" s="44">
        <v>14</v>
      </c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</row>
    <row r="32" spans="1:32" x14ac:dyDescent="0.4">
      <c r="A32" s="52">
        <v>14</v>
      </c>
      <c r="B32" s="52" t="s">
        <v>2</v>
      </c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</row>
    <row r="33" spans="1:32" x14ac:dyDescent="0.4">
      <c r="A33" s="44">
        <v>14</v>
      </c>
      <c r="B33" s="44" t="s">
        <v>2</v>
      </c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</row>
    <row r="34" spans="1:32" x14ac:dyDescent="0.4">
      <c r="A34" s="52">
        <v>14</v>
      </c>
      <c r="B34" s="52" t="s">
        <v>2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</row>
    <row r="35" spans="1:32" x14ac:dyDescent="0.4">
      <c r="A35" s="44">
        <v>14</v>
      </c>
      <c r="B35" s="44" t="s">
        <v>2</v>
      </c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</row>
    <row r="36" spans="1:32" x14ac:dyDescent="0.4">
      <c r="A36" s="52">
        <v>14</v>
      </c>
      <c r="B36" s="43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</row>
    <row r="37" spans="1:32" x14ac:dyDescent="0.4">
      <c r="A37" s="44">
        <v>14</v>
      </c>
      <c r="B37" s="44" t="s">
        <v>2</v>
      </c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</row>
  </sheetData>
  <mergeCells count="1">
    <mergeCell ref="C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評価項目設定</vt:lpstr>
      <vt:lpstr>生徒氏名設定</vt:lpstr>
      <vt:lpstr>その他設定</vt:lpstr>
      <vt:lpstr>設定 (2)</vt:lpstr>
      <vt:lpstr>DeveloperMemo</vt:lpstr>
      <vt:lpstr>生徒氏名設定 (2)</vt:lpstr>
      <vt:lpstr>評価項目設定 (2)</vt:lpstr>
      <vt:lpstr>その他設定 (2)</vt:lpstr>
      <vt:lpstr>採点基準 (2)</vt:lpstr>
      <vt:lpstr>採点基準_単元別</vt:lpstr>
      <vt:lpstr>採点基準_観点別</vt:lpstr>
      <vt:lpstr>国語</vt:lpstr>
      <vt:lpstr>算数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2023-03-16T22:53:10Z</dcterms:modified>
</cp:coreProperties>
</file>